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nor\Desktop\"/>
    </mc:Choice>
  </mc:AlternateContent>
  <xr:revisionPtr revIDLastSave="0" documentId="8_{CDC9571A-9FD7-4711-855D-6E4F78F29000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4" i="1" l="1"/>
  <c r="W17" i="1" s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C5" i="1"/>
  <c r="W8" i="1"/>
  <c r="W9" i="1" s="1"/>
  <c r="D5" i="1" l="1"/>
  <c r="E5" i="1" s="1"/>
  <c r="I5" i="1"/>
  <c r="P5" i="1" s="1"/>
  <c r="F5" i="1"/>
  <c r="G5" i="1" s="1"/>
  <c r="W16" i="1"/>
  <c r="L5" i="1" l="1"/>
  <c r="M5" i="1" s="1"/>
  <c r="Q5" i="1"/>
  <c r="R5" i="1" s="1"/>
  <c r="P6" i="1" s="1"/>
  <c r="K5" i="1"/>
  <c r="S6" i="1" l="1"/>
  <c r="N6" i="1"/>
  <c r="K6" i="1"/>
  <c r="C6" i="1" s="1"/>
  <c r="T6" i="1" l="1"/>
  <c r="I6" i="1"/>
  <c r="D6" i="1"/>
  <c r="F6" i="1"/>
  <c r="G6" i="1" s="1"/>
  <c r="Q6" i="1" l="1"/>
  <c r="R6" i="1" s="1"/>
  <c r="E6" i="1"/>
  <c r="L6" i="1"/>
  <c r="M6" i="1" s="1"/>
  <c r="S7" i="1" l="1"/>
  <c r="P7" i="1"/>
  <c r="K7" i="1"/>
  <c r="N7" i="1"/>
  <c r="T7" i="1" l="1"/>
  <c r="I7" i="1"/>
  <c r="C7" i="1"/>
  <c r="D7" i="1" l="1"/>
  <c r="F7" i="1"/>
  <c r="G7" i="1" s="1"/>
  <c r="E7" i="1" l="1"/>
  <c r="L7" i="1"/>
  <c r="M7" i="1" s="1"/>
  <c r="Q7" i="1"/>
  <c r="R7" i="1" s="1"/>
  <c r="S8" i="1" l="1"/>
  <c r="P8" i="1"/>
  <c r="K8" i="1"/>
  <c r="N8" i="1"/>
  <c r="T8" i="1" l="1"/>
  <c r="C8" i="1"/>
  <c r="D8" i="1" s="1"/>
  <c r="I8" i="1"/>
  <c r="F8" i="1" l="1"/>
  <c r="G8" i="1" s="1"/>
  <c r="E8" i="1"/>
  <c r="Q8" i="1" l="1"/>
  <c r="R8" i="1" s="1"/>
  <c r="S9" i="1" s="1"/>
  <c r="L8" i="1"/>
  <c r="M8" i="1" s="1"/>
  <c r="K9" i="1" s="1"/>
  <c r="P9" i="1" l="1"/>
  <c r="I9" i="1" s="1"/>
  <c r="T9" i="1"/>
  <c r="N9" i="1"/>
  <c r="C9" i="1" l="1"/>
  <c r="D9" i="1" s="1"/>
  <c r="F9" i="1" l="1"/>
  <c r="G9" i="1" s="1"/>
  <c r="E9" i="1"/>
  <c r="L9" i="1" l="1"/>
  <c r="M9" i="1" s="1"/>
  <c r="K10" i="1" s="1"/>
  <c r="Q9" i="1"/>
  <c r="R9" i="1" s="1"/>
  <c r="P10" i="1" s="1"/>
  <c r="N10" i="1" l="1"/>
  <c r="S10" i="1"/>
  <c r="T10" i="1" s="1"/>
  <c r="I10" i="1"/>
  <c r="C10" i="1"/>
  <c r="F10" i="1" l="1"/>
  <c r="G10" i="1" s="1"/>
  <c r="D10" i="1"/>
  <c r="L10" i="1" l="1"/>
  <c r="M10" i="1" s="1"/>
  <c r="E10" i="1"/>
  <c r="Q10" i="1"/>
  <c r="R10" i="1" s="1"/>
  <c r="K11" i="1" l="1"/>
  <c r="N11" i="1"/>
  <c r="S11" i="1"/>
  <c r="P11" i="1"/>
  <c r="T11" i="1" l="1"/>
  <c r="C11" i="1"/>
  <c r="D11" i="1" s="1"/>
  <c r="E11" i="1" s="1"/>
  <c r="I11" i="1"/>
  <c r="F11" i="1" l="1"/>
  <c r="G11" i="1" s="1"/>
  <c r="Q11" i="1" l="1"/>
  <c r="R11" i="1" s="1"/>
  <c r="S12" i="1" s="1"/>
  <c r="L11" i="1"/>
  <c r="M11" i="1" s="1"/>
  <c r="K12" i="1" s="1"/>
  <c r="T12" i="1" l="1"/>
  <c r="P12" i="1"/>
  <c r="C12" i="1" s="1"/>
  <c r="F12" i="1" s="1"/>
  <c r="G12" i="1" s="1"/>
  <c r="N12" i="1"/>
  <c r="D12" i="1" l="1"/>
  <c r="E12" i="1" s="1"/>
  <c r="I12" i="1"/>
  <c r="Q12" i="1" l="1"/>
  <c r="R12" i="1" s="1"/>
  <c r="P13" i="1" s="1"/>
  <c r="L12" i="1"/>
  <c r="M12" i="1" s="1"/>
  <c r="N13" i="1" s="1"/>
  <c r="S13" i="1" l="1"/>
  <c r="T13" i="1" s="1"/>
  <c r="K13" i="1"/>
  <c r="C13" i="1" s="1"/>
  <c r="I13" i="1" l="1"/>
  <c r="D13" i="1"/>
  <c r="F13" i="1"/>
  <c r="G13" i="1" s="1"/>
  <c r="E13" i="1" l="1"/>
  <c r="L13" i="1"/>
  <c r="M13" i="1" s="1"/>
  <c r="Q13" i="1"/>
  <c r="R13" i="1" s="1"/>
  <c r="P14" i="1" l="1"/>
  <c r="S14" i="1"/>
  <c r="K14" i="1"/>
  <c r="N14" i="1"/>
  <c r="T14" i="1" l="1"/>
  <c r="I14" i="1"/>
  <c r="C14" i="1"/>
  <c r="D14" i="1" l="1"/>
  <c r="F14" i="1"/>
  <c r="G14" i="1" s="1"/>
  <c r="L14" i="1" l="1"/>
  <c r="M14" i="1" s="1"/>
  <c r="Q14" i="1"/>
  <c r="R14" i="1" s="1"/>
  <c r="E14" i="1"/>
  <c r="N15" i="1" l="1"/>
  <c r="K15" i="1"/>
  <c r="P15" i="1"/>
  <c r="S15" i="1"/>
  <c r="T15" i="1" l="1"/>
  <c r="I15" i="1"/>
  <c r="C15" i="1"/>
  <c r="F15" i="1" l="1"/>
  <c r="G15" i="1" s="1"/>
  <c r="D15" i="1"/>
  <c r="E15" i="1" l="1"/>
  <c r="Q15" i="1"/>
  <c r="R15" i="1" s="1"/>
  <c r="L15" i="1"/>
  <c r="M15" i="1" s="1"/>
  <c r="K16" i="1" l="1"/>
  <c r="N16" i="1"/>
  <c r="S16" i="1"/>
  <c r="P16" i="1"/>
  <c r="T16" i="1" l="1"/>
  <c r="C16" i="1"/>
  <c r="I16" i="1"/>
  <c r="F16" i="1" l="1"/>
  <c r="G16" i="1" s="1"/>
  <c r="D16" i="1"/>
  <c r="L16" i="1" l="1"/>
  <c r="M16" i="1" s="1"/>
  <c r="Q16" i="1"/>
  <c r="R16" i="1" s="1"/>
  <c r="E16" i="1"/>
  <c r="K17" i="1" l="1"/>
  <c r="N17" i="1"/>
  <c r="P17" i="1"/>
  <c r="S17" i="1"/>
  <c r="T17" i="1" l="1"/>
  <c r="C17" i="1"/>
  <c r="I17" i="1"/>
  <c r="D17" i="1" l="1"/>
  <c r="F17" i="1"/>
  <c r="G17" i="1" s="1"/>
  <c r="L17" i="1" l="1"/>
  <c r="M17" i="1" s="1"/>
  <c r="Q17" i="1"/>
  <c r="R17" i="1" s="1"/>
  <c r="E17" i="1"/>
  <c r="K18" i="1" l="1"/>
  <c r="N18" i="1"/>
  <c r="S18" i="1"/>
  <c r="P18" i="1"/>
  <c r="T18" i="1" l="1"/>
  <c r="C18" i="1"/>
  <c r="I18" i="1"/>
  <c r="D18" i="1" l="1"/>
  <c r="F18" i="1"/>
  <c r="G18" i="1" s="1"/>
  <c r="L18" i="1" l="1"/>
  <c r="M18" i="1" s="1"/>
  <c r="Q18" i="1"/>
  <c r="R18" i="1" s="1"/>
  <c r="E18" i="1"/>
  <c r="K19" i="1" l="1"/>
  <c r="N19" i="1"/>
  <c r="P19" i="1"/>
  <c r="S19" i="1"/>
  <c r="T19" i="1" l="1"/>
  <c r="C19" i="1"/>
  <c r="I19" i="1"/>
  <c r="F19" i="1" l="1"/>
  <c r="G19" i="1" s="1"/>
  <c r="D19" i="1"/>
  <c r="Q19" i="1" l="1"/>
  <c r="R19" i="1" s="1"/>
  <c r="E19" i="1"/>
  <c r="L19" i="1"/>
  <c r="M19" i="1" s="1"/>
  <c r="S20" i="1" l="1"/>
  <c r="P20" i="1"/>
  <c r="K20" i="1"/>
  <c r="N20" i="1"/>
  <c r="T20" i="1" l="1"/>
  <c r="C20" i="1"/>
  <c r="I20" i="1"/>
  <c r="D20" i="1" l="1"/>
  <c r="F20" i="1"/>
  <c r="G20" i="1" s="1"/>
  <c r="Q20" i="1" l="1"/>
  <c r="R20" i="1" s="1"/>
  <c r="E20" i="1"/>
  <c r="L20" i="1"/>
  <c r="M20" i="1" s="1"/>
  <c r="P21" i="1" l="1"/>
  <c r="S21" i="1"/>
  <c r="N21" i="1"/>
  <c r="K21" i="1"/>
  <c r="T21" i="1" l="1"/>
  <c r="I21" i="1"/>
  <c r="C21" i="1"/>
  <c r="D21" i="1" l="1"/>
  <c r="F21" i="1"/>
  <c r="G21" i="1" s="1"/>
  <c r="Q21" i="1" l="1"/>
  <c r="R21" i="1" s="1"/>
  <c r="E21" i="1"/>
  <c r="L21" i="1"/>
  <c r="M21" i="1" s="1"/>
  <c r="P22" i="1" l="1"/>
  <c r="S22" i="1"/>
  <c r="K22" i="1"/>
  <c r="N22" i="1"/>
  <c r="T22" i="1" l="1"/>
  <c r="I22" i="1"/>
  <c r="C22" i="1"/>
  <c r="F22" i="1" l="1"/>
  <c r="G22" i="1" s="1"/>
  <c r="D22" i="1"/>
  <c r="E22" i="1" l="1"/>
  <c r="L22" i="1"/>
  <c r="M22" i="1" s="1"/>
  <c r="Q22" i="1"/>
  <c r="R22" i="1" s="1"/>
  <c r="P23" i="1" l="1"/>
  <c r="S23" i="1"/>
  <c r="N23" i="1"/>
  <c r="K23" i="1"/>
  <c r="T23" i="1" l="1"/>
  <c r="I23" i="1"/>
  <c r="C23" i="1"/>
  <c r="D23" i="1" l="1"/>
  <c r="F23" i="1"/>
  <c r="G23" i="1" s="1"/>
  <c r="Q23" i="1" l="1"/>
  <c r="R23" i="1" s="1"/>
  <c r="E23" i="1"/>
  <c r="L23" i="1"/>
  <c r="M23" i="1" s="1"/>
  <c r="K24" i="1" l="1"/>
  <c r="N24" i="1"/>
  <c r="P24" i="1"/>
  <c r="S24" i="1"/>
  <c r="T24" i="1" l="1"/>
  <c r="I24" i="1"/>
  <c r="C24" i="1"/>
  <c r="F24" i="1" l="1"/>
  <c r="G24" i="1" s="1"/>
  <c r="D24" i="1"/>
  <c r="Q24" i="1" l="1"/>
  <c r="R24" i="1" s="1"/>
  <c r="E24" i="1"/>
  <c r="L24" i="1"/>
  <c r="M24" i="1" s="1"/>
  <c r="K25" i="1" l="1"/>
  <c r="N25" i="1"/>
  <c r="S25" i="1"/>
  <c r="P25" i="1"/>
  <c r="T25" i="1" l="1"/>
  <c r="I25" i="1"/>
  <c r="C25" i="1"/>
  <c r="F25" i="1" l="1"/>
  <c r="G25" i="1" s="1"/>
  <c r="D25" i="1"/>
  <c r="Q25" i="1" l="1"/>
  <c r="R25" i="1" s="1"/>
  <c r="E25" i="1"/>
  <c r="L25" i="1"/>
  <c r="M25" i="1" s="1"/>
  <c r="K26" i="1" l="1"/>
  <c r="N26" i="1"/>
  <c r="P26" i="1"/>
  <c r="S26" i="1"/>
  <c r="T26" i="1" l="1"/>
  <c r="I26" i="1"/>
  <c r="C26" i="1"/>
  <c r="F26" i="1" l="1"/>
  <c r="G26" i="1" s="1"/>
  <c r="D26" i="1"/>
  <c r="L26" i="1" l="1"/>
  <c r="M26" i="1" s="1"/>
  <c r="Q26" i="1"/>
  <c r="R26" i="1" s="1"/>
  <c r="E26" i="1"/>
  <c r="K27" i="1" l="1"/>
  <c r="N27" i="1"/>
  <c r="S27" i="1"/>
  <c r="P27" i="1"/>
  <c r="T27" i="1" l="1"/>
  <c r="C27" i="1"/>
  <c r="I27" i="1"/>
  <c r="F27" i="1" l="1"/>
  <c r="G27" i="1" s="1"/>
  <c r="D27" i="1"/>
  <c r="E27" i="1" l="1"/>
  <c r="L27" i="1"/>
  <c r="M27" i="1" s="1"/>
  <c r="Q27" i="1"/>
  <c r="R27" i="1" s="1"/>
  <c r="P28" i="1" l="1"/>
  <c r="S28" i="1"/>
  <c r="K28" i="1"/>
  <c r="N28" i="1"/>
  <c r="T28" i="1" l="1"/>
  <c r="I28" i="1"/>
  <c r="C28" i="1"/>
  <c r="D28" i="1" l="1"/>
  <c r="F28" i="1"/>
  <c r="G28" i="1" s="1"/>
  <c r="L28" i="1" l="1"/>
  <c r="M28" i="1" s="1"/>
  <c r="Q28" i="1"/>
  <c r="R28" i="1" s="1"/>
  <c r="E28" i="1"/>
  <c r="N29" i="1" l="1"/>
  <c r="K29" i="1"/>
  <c r="P29" i="1"/>
  <c r="S29" i="1"/>
  <c r="T29" i="1" l="1"/>
  <c r="I29" i="1"/>
  <c r="C29" i="1"/>
  <c r="D29" i="1" l="1"/>
  <c r="F29" i="1"/>
  <c r="G29" i="1" s="1"/>
  <c r="Q29" i="1" l="1"/>
  <c r="R29" i="1" s="1"/>
  <c r="E29" i="1"/>
  <c r="L29" i="1"/>
  <c r="M29" i="1" s="1"/>
  <c r="S30" i="1" l="1"/>
  <c r="P30" i="1"/>
  <c r="K30" i="1"/>
  <c r="N30" i="1"/>
  <c r="T30" i="1" l="1"/>
  <c r="C30" i="1"/>
  <c r="I30" i="1"/>
  <c r="F30" i="1" l="1"/>
  <c r="G30" i="1" s="1"/>
  <c r="D30" i="1"/>
  <c r="Q30" i="1" l="1"/>
  <c r="R30" i="1" s="1"/>
  <c r="E30" i="1"/>
  <c r="L30" i="1"/>
  <c r="M30" i="1" s="1"/>
  <c r="P31" i="1" l="1"/>
  <c r="S31" i="1"/>
  <c r="N31" i="1"/>
  <c r="K31" i="1"/>
  <c r="T31" i="1" l="1"/>
  <c r="I31" i="1"/>
  <c r="C31" i="1"/>
  <c r="D31" i="1" l="1"/>
  <c r="F31" i="1"/>
  <c r="G31" i="1" s="1"/>
  <c r="L31" i="1" l="1"/>
  <c r="M31" i="1" s="1"/>
  <c r="Q31" i="1"/>
  <c r="R31" i="1" s="1"/>
  <c r="E31" i="1"/>
  <c r="K32" i="1" l="1"/>
  <c r="N32" i="1"/>
  <c r="P32" i="1"/>
  <c r="S32" i="1"/>
  <c r="T32" i="1" l="1"/>
  <c r="C32" i="1"/>
  <c r="I32" i="1"/>
  <c r="F32" i="1" l="1"/>
  <c r="G32" i="1" s="1"/>
  <c r="D32" i="1"/>
  <c r="L32" i="1" l="1"/>
  <c r="M32" i="1" s="1"/>
  <c r="Q32" i="1"/>
  <c r="R32" i="1" s="1"/>
  <c r="E32" i="1"/>
  <c r="K33" i="1" l="1"/>
  <c r="N33" i="1"/>
  <c r="S33" i="1"/>
  <c r="P33" i="1"/>
  <c r="T33" i="1" l="1"/>
  <c r="C33" i="1"/>
  <c r="I33" i="1"/>
  <c r="D33" i="1" l="1"/>
  <c r="F33" i="1"/>
  <c r="G33" i="1" s="1"/>
  <c r="Q33" i="1" l="1"/>
  <c r="R33" i="1" s="1"/>
  <c r="E33" i="1"/>
  <c r="L33" i="1"/>
  <c r="M33" i="1" s="1"/>
  <c r="K34" i="1" l="1"/>
  <c r="N34" i="1"/>
  <c r="P34" i="1"/>
  <c r="S34" i="1"/>
  <c r="T34" i="1" l="1"/>
  <c r="C34" i="1"/>
  <c r="I34" i="1"/>
  <c r="F34" i="1" l="1"/>
  <c r="G34" i="1" s="1"/>
  <c r="D34" i="1"/>
  <c r="E34" i="1" l="1"/>
  <c r="L34" i="1"/>
  <c r="M34" i="1" s="1"/>
  <c r="Q34" i="1"/>
  <c r="R34" i="1" s="1"/>
  <c r="S35" i="1" l="1"/>
  <c r="P35" i="1"/>
  <c r="K35" i="1"/>
  <c r="N35" i="1"/>
  <c r="T35" i="1" l="1"/>
  <c r="C35" i="1"/>
  <c r="I35" i="1"/>
  <c r="F35" i="1" l="1"/>
  <c r="G35" i="1" s="1"/>
  <c r="D35" i="1"/>
  <c r="L35" i="1" l="1"/>
  <c r="M35" i="1" s="1"/>
  <c r="Q35" i="1"/>
  <c r="R35" i="1" s="1"/>
  <c r="E35" i="1"/>
  <c r="N36" i="1" l="1"/>
  <c r="K36" i="1"/>
  <c r="P36" i="1"/>
  <c r="S36" i="1"/>
  <c r="T36" i="1" l="1"/>
  <c r="I36" i="1"/>
  <c r="C36" i="1"/>
  <c r="D36" i="1" l="1"/>
  <c r="F36" i="1"/>
  <c r="G36" i="1" s="1"/>
  <c r="L36" i="1" l="1"/>
  <c r="M36" i="1" s="1"/>
  <c r="Q36" i="1"/>
  <c r="R36" i="1" s="1"/>
  <c r="E36" i="1"/>
  <c r="N37" i="1" l="1"/>
  <c r="K37" i="1"/>
  <c r="S37" i="1"/>
  <c r="P37" i="1"/>
  <c r="T37" i="1" l="1"/>
  <c r="I37" i="1"/>
  <c r="C37" i="1"/>
  <c r="F37" i="1" l="1"/>
  <c r="G37" i="1" s="1"/>
  <c r="D37" i="1"/>
  <c r="E37" i="1" l="1"/>
  <c r="L37" i="1"/>
  <c r="M37" i="1" s="1"/>
  <c r="Q37" i="1"/>
  <c r="R37" i="1" s="1"/>
  <c r="P38" i="1" l="1"/>
  <c r="S38" i="1"/>
  <c r="K38" i="1"/>
  <c r="N38" i="1"/>
  <c r="T38" i="1" l="1"/>
  <c r="I38" i="1"/>
  <c r="C38" i="1"/>
  <c r="F38" i="1" l="1"/>
  <c r="G38" i="1" s="1"/>
  <c r="D38" i="1"/>
  <c r="L38" i="1" l="1"/>
  <c r="M38" i="1" s="1"/>
  <c r="E38" i="1"/>
  <c r="Q38" i="1"/>
  <c r="R38" i="1" s="1"/>
  <c r="N39" i="1" l="1"/>
  <c r="K39" i="1"/>
  <c r="P39" i="1"/>
  <c r="S39" i="1"/>
  <c r="T39" i="1" l="1"/>
  <c r="I39" i="1"/>
  <c r="C39" i="1"/>
  <c r="D39" i="1" l="1"/>
  <c r="F39" i="1"/>
  <c r="G39" i="1" s="1"/>
  <c r="Q39" i="1" l="1"/>
  <c r="R39" i="1" s="1"/>
  <c r="E39" i="1"/>
  <c r="L39" i="1"/>
  <c r="M39" i="1" s="1"/>
  <c r="S40" i="1" l="1"/>
  <c r="P40" i="1"/>
  <c r="K40" i="1"/>
  <c r="N40" i="1"/>
  <c r="T40" i="1" l="1"/>
  <c r="C40" i="1"/>
  <c r="I40" i="1"/>
  <c r="F40" i="1" l="1"/>
  <c r="G40" i="1" s="1"/>
  <c r="D40" i="1"/>
  <c r="Q40" i="1" l="1"/>
  <c r="R40" i="1" s="1"/>
  <c r="E40" i="1"/>
  <c r="L40" i="1"/>
  <c r="M40" i="1" s="1"/>
  <c r="P41" i="1" l="1"/>
  <c r="S41" i="1"/>
  <c r="N41" i="1"/>
  <c r="K41" i="1"/>
  <c r="T41" i="1" l="1"/>
  <c r="I41" i="1"/>
  <c r="C41" i="1"/>
  <c r="F41" i="1" l="1"/>
  <c r="G41" i="1" s="1"/>
  <c r="D41" i="1"/>
  <c r="E41" i="1" l="1"/>
  <c r="L41" i="1"/>
  <c r="M41" i="1" s="1"/>
  <c r="Q41" i="1"/>
  <c r="R41" i="1" s="1"/>
  <c r="P42" i="1" l="1"/>
  <c r="S42" i="1"/>
  <c r="K42" i="1"/>
  <c r="N42" i="1"/>
  <c r="T42" i="1" l="1"/>
  <c r="I42" i="1"/>
  <c r="C42" i="1"/>
  <c r="F42" i="1" l="1"/>
  <c r="G42" i="1" s="1"/>
  <c r="D42" i="1"/>
  <c r="Q42" i="1" l="1"/>
  <c r="R42" i="1" s="1"/>
  <c r="E42" i="1"/>
  <c r="L42" i="1"/>
  <c r="M42" i="1" s="1"/>
  <c r="S43" i="1" l="1"/>
  <c r="P43" i="1"/>
  <c r="N43" i="1"/>
  <c r="K43" i="1"/>
  <c r="T43" i="1" l="1"/>
  <c r="C43" i="1"/>
  <c r="I43" i="1"/>
  <c r="F43" i="1" l="1"/>
  <c r="G43" i="1" s="1"/>
  <c r="D43" i="1"/>
  <c r="E43" i="1" l="1"/>
  <c r="L43" i="1"/>
  <c r="M43" i="1" s="1"/>
  <c r="Q43" i="1"/>
  <c r="R43" i="1" s="1"/>
  <c r="P44" i="1" l="1"/>
  <c r="S44" i="1"/>
  <c r="K44" i="1"/>
  <c r="N44" i="1"/>
  <c r="T44" i="1" l="1"/>
  <c r="I44" i="1"/>
  <c r="C44" i="1"/>
  <c r="F44" i="1" l="1"/>
  <c r="G44" i="1" s="1"/>
  <c r="D44" i="1"/>
  <c r="Q44" i="1" l="1"/>
  <c r="R44" i="1" s="1"/>
  <c r="L44" i="1"/>
  <c r="M44" i="1" s="1"/>
  <c r="E44" i="1"/>
  <c r="P45" i="1" l="1"/>
  <c r="S45" i="1"/>
  <c r="N45" i="1"/>
  <c r="K45" i="1"/>
  <c r="T45" i="1" l="1"/>
  <c r="I45" i="1"/>
  <c r="C45" i="1"/>
  <c r="D45" i="1" l="1"/>
  <c r="F45" i="1"/>
  <c r="G45" i="1" s="1"/>
  <c r="E45" i="1" l="1"/>
  <c r="L45" i="1"/>
  <c r="M45" i="1" s="1"/>
  <c r="Q45" i="1"/>
  <c r="R45" i="1" s="1"/>
  <c r="P46" i="1" l="1"/>
  <c r="S46" i="1"/>
  <c r="K46" i="1"/>
  <c r="N46" i="1"/>
  <c r="T46" i="1" l="1"/>
  <c r="I46" i="1"/>
  <c r="C46" i="1"/>
  <c r="F46" i="1" l="1"/>
  <c r="G46" i="1" s="1"/>
  <c r="D46" i="1"/>
  <c r="Q46" i="1" l="1"/>
  <c r="R46" i="1" s="1"/>
  <c r="E46" i="1"/>
  <c r="L46" i="1"/>
  <c r="M46" i="1" s="1"/>
  <c r="P47" i="1" l="1"/>
  <c r="S47" i="1"/>
  <c r="N47" i="1"/>
  <c r="K47" i="1"/>
  <c r="T47" i="1" l="1"/>
  <c r="I47" i="1"/>
  <c r="C47" i="1"/>
  <c r="F47" i="1" l="1"/>
  <c r="G47" i="1" s="1"/>
  <c r="D47" i="1"/>
  <c r="E47" i="1" l="1"/>
  <c r="L47" i="1"/>
  <c r="M47" i="1" s="1"/>
  <c r="Q47" i="1"/>
  <c r="R47" i="1" s="1"/>
  <c r="P48" i="1" l="1"/>
  <c r="S48" i="1"/>
  <c r="K48" i="1"/>
  <c r="N48" i="1"/>
  <c r="T48" i="1" l="1"/>
  <c r="I48" i="1"/>
  <c r="C48" i="1"/>
  <c r="D48" i="1" l="1"/>
  <c r="F48" i="1"/>
  <c r="G48" i="1" s="1"/>
  <c r="Q48" i="1" l="1"/>
  <c r="R48" i="1" s="1"/>
  <c r="E48" i="1"/>
  <c r="L48" i="1"/>
  <c r="M48" i="1" s="1"/>
  <c r="P49" i="1" l="1"/>
  <c r="S49" i="1"/>
  <c r="N49" i="1"/>
  <c r="K49" i="1"/>
  <c r="T49" i="1" l="1"/>
  <c r="I49" i="1"/>
  <c r="C49" i="1"/>
  <c r="D49" i="1" l="1"/>
  <c r="F49" i="1"/>
  <c r="G49" i="1" s="1"/>
  <c r="E49" i="1" l="1"/>
  <c r="L49" i="1"/>
  <c r="M49" i="1" s="1"/>
  <c r="Q49" i="1"/>
  <c r="R49" i="1" s="1"/>
  <c r="P50" i="1" l="1"/>
  <c r="S50" i="1"/>
  <c r="K50" i="1"/>
  <c r="N50" i="1"/>
  <c r="T50" i="1" l="1"/>
  <c r="I50" i="1"/>
  <c r="C50" i="1"/>
  <c r="D50" i="1" l="1"/>
  <c r="F50" i="1"/>
  <c r="G50" i="1" s="1"/>
  <c r="L50" i="1" l="1"/>
  <c r="M50" i="1" s="1"/>
  <c r="E50" i="1"/>
  <c r="Q50" i="1"/>
  <c r="R50" i="1" s="1"/>
  <c r="N51" i="1" l="1"/>
  <c r="K51" i="1"/>
  <c r="P51" i="1"/>
  <c r="S51" i="1"/>
  <c r="T51" i="1" l="1"/>
  <c r="I51" i="1"/>
  <c r="C51" i="1"/>
  <c r="F51" i="1" l="1"/>
  <c r="G51" i="1" s="1"/>
  <c r="D51" i="1"/>
  <c r="E51" i="1" l="1"/>
  <c r="L51" i="1"/>
  <c r="M51" i="1" s="1"/>
  <c r="Q51" i="1"/>
  <c r="R51" i="1" s="1"/>
  <c r="S52" i="1" l="1"/>
  <c r="P52" i="1"/>
  <c r="K52" i="1"/>
  <c r="N52" i="1"/>
  <c r="T52" i="1" l="1"/>
  <c r="C52" i="1"/>
  <c r="I52" i="1"/>
  <c r="F52" i="1" l="1"/>
  <c r="G52" i="1" s="1"/>
  <c r="D52" i="1"/>
  <c r="L52" i="1" l="1"/>
  <c r="M52" i="1" s="1"/>
  <c r="E52" i="1"/>
  <c r="Q52" i="1"/>
  <c r="R52" i="1" s="1"/>
  <c r="N53" i="1" l="1"/>
  <c r="K53" i="1"/>
  <c r="P53" i="1"/>
  <c r="S53" i="1"/>
  <c r="T53" i="1" l="1"/>
  <c r="I53" i="1"/>
  <c r="C53" i="1"/>
  <c r="D53" i="1" l="1"/>
  <c r="F53" i="1"/>
  <c r="G53" i="1" s="1"/>
  <c r="E53" i="1" l="1"/>
  <c r="L53" i="1"/>
  <c r="M53" i="1" s="1"/>
  <c r="Q53" i="1"/>
  <c r="R53" i="1" s="1"/>
  <c r="S54" i="1" l="1"/>
  <c r="P54" i="1"/>
  <c r="K54" i="1"/>
  <c r="N54" i="1"/>
  <c r="T54" i="1" l="1"/>
  <c r="C54" i="1"/>
  <c r="I54" i="1"/>
  <c r="D54" i="1" l="1"/>
  <c r="F54" i="1"/>
  <c r="G54" i="1" s="1"/>
  <c r="Q54" i="1" l="1"/>
  <c r="R54" i="1" s="1"/>
  <c r="E54" i="1"/>
  <c r="L54" i="1"/>
  <c r="M54" i="1" s="1"/>
  <c r="P55" i="1" l="1"/>
  <c r="S55" i="1"/>
  <c r="N55" i="1"/>
  <c r="K55" i="1"/>
  <c r="T55" i="1" l="1"/>
  <c r="I55" i="1"/>
  <c r="C55" i="1"/>
  <c r="F55" i="1" l="1"/>
  <c r="G55" i="1" s="1"/>
  <c r="D55" i="1"/>
  <c r="E55" i="1" l="1"/>
  <c r="L55" i="1"/>
  <c r="M55" i="1" s="1"/>
  <c r="Q55" i="1"/>
  <c r="R55" i="1" s="1"/>
  <c r="P56" i="1" l="1"/>
  <c r="S56" i="1"/>
  <c r="K56" i="1"/>
  <c r="N56" i="1"/>
  <c r="T56" i="1" l="1"/>
  <c r="I56" i="1"/>
  <c r="C56" i="1"/>
  <c r="D56" i="1" l="1"/>
  <c r="F56" i="1"/>
  <c r="G56" i="1" s="1"/>
  <c r="Q56" i="1" l="1"/>
  <c r="R56" i="1" s="1"/>
  <c r="E56" i="1"/>
  <c r="L56" i="1"/>
  <c r="M56" i="1" s="1"/>
  <c r="P57" i="1" l="1"/>
  <c r="S57" i="1"/>
  <c r="N57" i="1"/>
  <c r="K57" i="1"/>
  <c r="T57" i="1" l="1"/>
  <c r="I57" i="1"/>
  <c r="C57" i="1"/>
  <c r="D57" i="1" l="1"/>
  <c r="F57" i="1"/>
  <c r="G57" i="1" s="1"/>
  <c r="E57" i="1" l="1"/>
  <c r="L57" i="1"/>
  <c r="M57" i="1" s="1"/>
  <c r="Q57" i="1"/>
  <c r="R57" i="1" s="1"/>
  <c r="P58" i="1" l="1"/>
  <c r="S58" i="1"/>
  <c r="K58" i="1"/>
  <c r="N58" i="1"/>
  <c r="T58" i="1" l="1"/>
  <c r="I58" i="1"/>
  <c r="C58" i="1"/>
  <c r="D58" i="1" l="1"/>
  <c r="F58" i="1"/>
  <c r="G58" i="1" s="1"/>
  <c r="L58" i="1" l="1"/>
  <c r="M58" i="1" s="1"/>
  <c r="E58" i="1"/>
  <c r="Q58" i="1"/>
  <c r="R58" i="1" s="1"/>
  <c r="N59" i="1" l="1"/>
  <c r="K59" i="1"/>
  <c r="P59" i="1"/>
  <c r="S59" i="1"/>
  <c r="T59" i="1" l="1"/>
  <c r="I59" i="1"/>
  <c r="C59" i="1"/>
  <c r="F59" i="1" l="1"/>
  <c r="G59" i="1" s="1"/>
  <c r="D59" i="1"/>
  <c r="E59" i="1" l="1"/>
  <c r="L59" i="1"/>
  <c r="M59" i="1" s="1"/>
  <c r="Q59" i="1"/>
  <c r="R59" i="1" s="1"/>
  <c r="S60" i="1" l="1"/>
  <c r="P60" i="1"/>
  <c r="K60" i="1"/>
  <c r="N60" i="1"/>
  <c r="T60" i="1" l="1"/>
  <c r="C60" i="1"/>
  <c r="I60" i="1"/>
  <c r="F60" i="1" l="1"/>
  <c r="G60" i="1" s="1"/>
  <c r="D60" i="1"/>
  <c r="Q60" i="1" l="1"/>
  <c r="R60" i="1" s="1"/>
  <c r="L60" i="1"/>
  <c r="M60" i="1" s="1"/>
  <c r="E60" i="1"/>
  <c r="P61" i="1" l="1"/>
  <c r="S61" i="1"/>
  <c r="N61" i="1"/>
  <c r="K61" i="1"/>
  <c r="T61" i="1" l="1"/>
  <c r="I61" i="1"/>
  <c r="C61" i="1"/>
  <c r="D61" i="1" l="1"/>
  <c r="F61" i="1"/>
  <c r="G61" i="1" s="1"/>
  <c r="Q61" i="1" l="1"/>
  <c r="R61" i="1" s="1"/>
  <c r="E61" i="1"/>
  <c r="L61" i="1"/>
  <c r="M61" i="1" s="1"/>
  <c r="P62" i="1" l="1"/>
  <c r="S62" i="1"/>
  <c r="K62" i="1"/>
  <c r="N62" i="1"/>
  <c r="T62" i="1" l="1"/>
  <c r="I62" i="1"/>
  <c r="C62" i="1"/>
  <c r="D62" i="1" l="1"/>
  <c r="F62" i="1"/>
  <c r="G62" i="1" s="1"/>
  <c r="L62" i="1" l="1"/>
  <c r="M62" i="1" s="1"/>
  <c r="Q62" i="1"/>
  <c r="R62" i="1" s="1"/>
  <c r="E62" i="1"/>
  <c r="N63" i="1" l="1"/>
  <c r="K63" i="1"/>
  <c r="P63" i="1"/>
  <c r="S63" i="1"/>
  <c r="T63" i="1" l="1"/>
  <c r="I63" i="1"/>
  <c r="C63" i="1"/>
  <c r="F63" i="1" l="1"/>
  <c r="G63" i="1" s="1"/>
  <c r="D63" i="1"/>
  <c r="E63" i="1" l="1"/>
  <c r="L63" i="1"/>
  <c r="M63" i="1" s="1"/>
  <c r="Q63" i="1"/>
  <c r="R63" i="1" s="1"/>
  <c r="S64" i="1" l="1"/>
  <c r="P64" i="1"/>
  <c r="K64" i="1"/>
  <c r="N64" i="1"/>
  <c r="T64" i="1" l="1"/>
  <c r="C64" i="1"/>
  <c r="I64" i="1"/>
  <c r="D64" i="1" l="1"/>
  <c r="F64" i="1"/>
  <c r="G64" i="1" s="1"/>
  <c r="Q64" i="1" l="1"/>
  <c r="R64" i="1" s="1"/>
  <c r="E64" i="1"/>
  <c r="L64" i="1"/>
  <c r="M64" i="1" s="1"/>
  <c r="P65" i="1" l="1"/>
  <c r="S65" i="1"/>
  <c r="N65" i="1"/>
  <c r="K65" i="1"/>
  <c r="T65" i="1" l="1"/>
  <c r="I65" i="1"/>
  <c r="C65" i="1"/>
  <c r="D65" i="1" l="1"/>
  <c r="F65" i="1"/>
  <c r="G65" i="1" s="1"/>
  <c r="E65" i="1" l="1"/>
  <c r="Q65" i="1"/>
  <c r="R65" i="1" s="1"/>
  <c r="L65" i="1"/>
  <c r="M65" i="1" s="1"/>
  <c r="K66" i="1" l="1"/>
  <c r="N66" i="1"/>
  <c r="P66" i="1"/>
  <c r="S66" i="1"/>
  <c r="T66" i="1" l="1"/>
  <c r="C66" i="1"/>
  <c r="I66" i="1"/>
  <c r="F66" i="1" l="1"/>
  <c r="G66" i="1" s="1"/>
  <c r="D66" i="1"/>
  <c r="E66" i="1" l="1"/>
  <c r="L66" i="1"/>
  <c r="M66" i="1" s="1"/>
  <c r="Q66" i="1"/>
  <c r="R66" i="1" s="1"/>
  <c r="S67" i="1" l="1"/>
  <c r="P67" i="1"/>
  <c r="K67" i="1"/>
  <c r="N67" i="1"/>
  <c r="T67" i="1" l="1"/>
  <c r="C67" i="1"/>
  <c r="I67" i="1"/>
  <c r="D67" i="1" l="1"/>
  <c r="F67" i="1"/>
  <c r="G67" i="1" s="1"/>
  <c r="L67" i="1" l="1"/>
  <c r="M67" i="1" s="1"/>
  <c r="E67" i="1"/>
  <c r="Q67" i="1"/>
  <c r="R67" i="1" s="1"/>
  <c r="P68" i="1" l="1"/>
  <c r="S68" i="1"/>
  <c r="N68" i="1"/>
  <c r="K68" i="1"/>
  <c r="T68" i="1" l="1"/>
  <c r="I68" i="1"/>
  <c r="C68" i="1"/>
  <c r="D68" i="1" l="1"/>
  <c r="F68" i="1"/>
  <c r="G68" i="1" s="1"/>
  <c r="Q68" i="1" l="1"/>
  <c r="R68" i="1" s="1"/>
  <c r="E68" i="1"/>
  <c r="L68" i="1"/>
  <c r="M68" i="1" s="1"/>
  <c r="P69" i="1" l="1"/>
  <c r="S69" i="1"/>
  <c r="K69" i="1"/>
  <c r="N69" i="1"/>
  <c r="T69" i="1" l="1"/>
  <c r="I69" i="1"/>
  <c r="C69" i="1"/>
  <c r="F69" i="1" l="1"/>
  <c r="G69" i="1" s="1"/>
  <c r="D69" i="1"/>
  <c r="Q69" i="1" l="1"/>
  <c r="R69" i="1" s="1"/>
  <c r="E69" i="1"/>
  <c r="L69" i="1"/>
  <c r="M69" i="1" s="1"/>
  <c r="P70" i="1" l="1"/>
  <c r="S70" i="1"/>
  <c r="K70" i="1"/>
  <c r="N70" i="1"/>
  <c r="T70" i="1" l="1"/>
  <c r="I70" i="1"/>
  <c r="C70" i="1"/>
  <c r="F70" i="1" l="1"/>
  <c r="G70" i="1" s="1"/>
  <c r="D70" i="1"/>
  <c r="E70" i="1" l="1"/>
  <c r="L70" i="1"/>
  <c r="M70" i="1" s="1"/>
  <c r="Q70" i="1"/>
  <c r="R70" i="1" s="1"/>
  <c r="P71" i="1" l="1"/>
  <c r="S71" i="1"/>
  <c r="N71" i="1"/>
  <c r="K71" i="1"/>
  <c r="T71" i="1" l="1"/>
  <c r="I71" i="1"/>
  <c r="C71" i="1"/>
  <c r="D71" i="1" l="1"/>
  <c r="F71" i="1"/>
  <c r="G71" i="1" s="1"/>
  <c r="Q71" i="1" l="1"/>
  <c r="R71" i="1" s="1"/>
  <c r="E71" i="1"/>
  <c r="L71" i="1"/>
  <c r="M71" i="1" s="1"/>
  <c r="P72" i="1" l="1"/>
  <c r="S72" i="1"/>
  <c r="K72" i="1"/>
  <c r="N72" i="1"/>
  <c r="T72" i="1" l="1"/>
  <c r="C72" i="1"/>
  <c r="I72" i="1"/>
  <c r="D72" i="1" l="1"/>
  <c r="F72" i="1"/>
  <c r="G72" i="1" s="1"/>
  <c r="Q72" i="1" l="1"/>
  <c r="R72" i="1" s="1"/>
  <c r="E72" i="1"/>
  <c r="L72" i="1"/>
  <c r="M72" i="1" s="1"/>
  <c r="P73" i="1" l="1"/>
  <c r="S73" i="1"/>
  <c r="K73" i="1"/>
  <c r="N73" i="1"/>
  <c r="T73" i="1" l="1"/>
  <c r="I73" i="1"/>
  <c r="C73" i="1"/>
  <c r="F73" i="1" l="1"/>
  <c r="G73" i="1" s="1"/>
  <c r="D73" i="1"/>
  <c r="Q73" i="1" l="1"/>
  <c r="R73" i="1" s="1"/>
  <c r="E73" i="1"/>
  <c r="L73" i="1"/>
  <c r="M73" i="1" s="1"/>
  <c r="P74" i="1" l="1"/>
  <c r="S74" i="1"/>
  <c r="N74" i="1"/>
  <c r="K74" i="1"/>
  <c r="T74" i="1" l="1"/>
  <c r="I74" i="1"/>
  <c r="C74" i="1"/>
  <c r="F74" i="1" l="1"/>
  <c r="G74" i="1" s="1"/>
  <c r="D74" i="1"/>
  <c r="E74" i="1" l="1"/>
  <c r="L74" i="1"/>
  <c r="M74" i="1" s="1"/>
  <c r="Q74" i="1"/>
  <c r="R74" i="1" s="1"/>
  <c r="P75" i="1" l="1"/>
  <c r="S75" i="1"/>
  <c r="K75" i="1"/>
  <c r="N75" i="1"/>
  <c r="T75" i="1" l="1"/>
  <c r="I75" i="1"/>
  <c r="C75" i="1"/>
  <c r="D75" i="1" l="1"/>
  <c r="F75" i="1"/>
  <c r="G75" i="1" s="1"/>
  <c r="Q75" i="1" l="1"/>
  <c r="R75" i="1" s="1"/>
  <c r="E75" i="1"/>
  <c r="L75" i="1"/>
  <c r="M75" i="1" s="1"/>
  <c r="P76" i="1" l="1"/>
  <c r="S76" i="1"/>
  <c r="N76" i="1"/>
  <c r="K76" i="1"/>
  <c r="T76" i="1" l="1"/>
  <c r="I76" i="1"/>
  <c r="C76" i="1"/>
  <c r="D76" i="1" l="1"/>
  <c r="F76" i="1"/>
  <c r="G76" i="1" s="1"/>
  <c r="E76" i="1" l="1"/>
  <c r="L76" i="1"/>
  <c r="M76" i="1" s="1"/>
  <c r="Q76" i="1"/>
  <c r="R76" i="1" s="1"/>
  <c r="P77" i="1" l="1"/>
  <c r="S77" i="1"/>
  <c r="K77" i="1"/>
  <c r="N77" i="1"/>
  <c r="T77" i="1" l="1"/>
  <c r="I77" i="1"/>
  <c r="C77" i="1"/>
  <c r="D77" i="1" l="1"/>
  <c r="F77" i="1"/>
  <c r="G77" i="1" s="1"/>
  <c r="Q77" i="1" l="1"/>
  <c r="R77" i="1" s="1"/>
  <c r="E77" i="1"/>
  <c r="L77" i="1"/>
  <c r="M77" i="1" s="1"/>
  <c r="P78" i="1" l="1"/>
  <c r="S78" i="1"/>
  <c r="N78" i="1"/>
  <c r="K78" i="1"/>
  <c r="T78" i="1" l="1"/>
  <c r="I78" i="1"/>
  <c r="C78" i="1"/>
  <c r="D78" i="1" l="1"/>
  <c r="F78" i="1"/>
  <c r="G78" i="1" s="1"/>
  <c r="Q78" i="1" l="1"/>
  <c r="R78" i="1" s="1"/>
  <c r="E78" i="1"/>
  <c r="L78" i="1"/>
  <c r="M78" i="1" s="1"/>
  <c r="P79" i="1" l="1"/>
  <c r="S79" i="1"/>
  <c r="K79" i="1"/>
  <c r="N79" i="1"/>
  <c r="T79" i="1" l="1"/>
  <c r="I79" i="1"/>
  <c r="C79" i="1"/>
  <c r="F79" i="1" l="1"/>
  <c r="G79" i="1" s="1"/>
  <c r="D79" i="1"/>
  <c r="Q79" i="1" l="1"/>
  <c r="R79" i="1" s="1"/>
  <c r="E79" i="1"/>
  <c r="L79" i="1"/>
  <c r="M79" i="1" s="1"/>
  <c r="P80" i="1" l="1"/>
  <c r="S80" i="1"/>
  <c r="N80" i="1"/>
  <c r="K80" i="1"/>
  <c r="T80" i="1" l="1"/>
  <c r="I80" i="1"/>
  <c r="C80" i="1"/>
  <c r="F80" i="1" l="1"/>
  <c r="G80" i="1" s="1"/>
  <c r="D80" i="1"/>
  <c r="E80" i="1" l="1"/>
  <c r="L80" i="1"/>
  <c r="M80" i="1" s="1"/>
  <c r="Q80" i="1"/>
  <c r="R80" i="1" s="1"/>
  <c r="P81" i="1" l="1"/>
  <c r="S81" i="1"/>
  <c r="K81" i="1"/>
  <c r="N81" i="1"/>
  <c r="T81" i="1" l="1"/>
  <c r="I81" i="1"/>
  <c r="C81" i="1"/>
  <c r="D81" i="1" l="1"/>
  <c r="F81" i="1"/>
  <c r="G81" i="1" s="1"/>
  <c r="Q81" i="1" l="1"/>
  <c r="R81" i="1" s="1"/>
  <c r="E81" i="1"/>
  <c r="L81" i="1"/>
  <c r="M81" i="1" s="1"/>
  <c r="P82" i="1" l="1"/>
  <c r="S82" i="1"/>
  <c r="N82" i="1"/>
  <c r="K82" i="1"/>
  <c r="T82" i="1" l="1"/>
  <c r="I82" i="1"/>
  <c r="C82" i="1"/>
  <c r="D82" i="1" l="1"/>
  <c r="F82" i="1"/>
  <c r="G82" i="1" s="1"/>
  <c r="Q82" i="1" l="1"/>
  <c r="R82" i="1" s="1"/>
  <c r="E82" i="1"/>
  <c r="L82" i="1"/>
  <c r="M82" i="1" s="1"/>
  <c r="P83" i="1" l="1"/>
  <c r="S83" i="1"/>
  <c r="K83" i="1"/>
  <c r="N83" i="1"/>
  <c r="T83" i="1" l="1"/>
  <c r="I83" i="1"/>
  <c r="C83" i="1"/>
  <c r="F83" i="1" l="1"/>
  <c r="G83" i="1" s="1"/>
  <c r="D83" i="1"/>
  <c r="Q83" i="1" l="1"/>
  <c r="R83" i="1" s="1"/>
  <c r="E83" i="1"/>
  <c r="L83" i="1"/>
  <c r="M83" i="1" s="1"/>
  <c r="P84" i="1" l="1"/>
  <c r="S84" i="1"/>
  <c r="N84" i="1"/>
  <c r="K84" i="1"/>
  <c r="T84" i="1" l="1"/>
  <c r="I84" i="1"/>
  <c r="C84" i="1"/>
  <c r="F84" i="1" l="1"/>
  <c r="G84" i="1" s="1"/>
  <c r="D84" i="1"/>
  <c r="E84" i="1" l="1"/>
  <c r="L84" i="1"/>
  <c r="M84" i="1" s="1"/>
  <c r="Q84" i="1"/>
  <c r="R84" i="1" s="1"/>
  <c r="P85" i="1" l="1"/>
  <c r="S85" i="1"/>
  <c r="K85" i="1"/>
  <c r="N85" i="1"/>
  <c r="T85" i="1" l="1"/>
  <c r="I85" i="1"/>
  <c r="C85" i="1"/>
  <c r="D85" i="1" l="1"/>
  <c r="F85" i="1"/>
  <c r="G85" i="1" s="1"/>
  <c r="Q85" i="1" l="1"/>
  <c r="R85" i="1" s="1"/>
  <c r="E85" i="1"/>
  <c r="L85" i="1"/>
  <c r="M85" i="1" s="1"/>
  <c r="P86" i="1" l="1"/>
  <c r="S86" i="1"/>
  <c r="N86" i="1"/>
  <c r="K86" i="1"/>
  <c r="T86" i="1" l="1"/>
  <c r="I86" i="1"/>
  <c r="C86" i="1"/>
  <c r="D86" i="1" l="1"/>
  <c r="F86" i="1"/>
  <c r="G86" i="1" s="1"/>
  <c r="Q86" i="1" l="1"/>
  <c r="R86" i="1" s="1"/>
  <c r="E86" i="1"/>
  <c r="L86" i="1"/>
  <c r="M86" i="1" s="1"/>
  <c r="P87" i="1" l="1"/>
  <c r="S87" i="1"/>
  <c r="K87" i="1"/>
  <c r="N87" i="1"/>
  <c r="T87" i="1" l="1"/>
  <c r="I87" i="1"/>
  <c r="C87" i="1"/>
  <c r="F87" i="1" l="1"/>
  <c r="G87" i="1" s="1"/>
  <c r="D87" i="1"/>
  <c r="Q87" i="1" l="1"/>
  <c r="R87" i="1" s="1"/>
  <c r="E87" i="1"/>
  <c r="L87" i="1"/>
  <c r="M87" i="1" s="1"/>
  <c r="P88" i="1" l="1"/>
  <c r="S88" i="1"/>
  <c r="N88" i="1"/>
  <c r="K88" i="1"/>
  <c r="T88" i="1" l="1"/>
  <c r="I88" i="1"/>
  <c r="C88" i="1"/>
  <c r="F88" i="1" l="1"/>
  <c r="G88" i="1" s="1"/>
  <c r="D88" i="1"/>
  <c r="E88" i="1" l="1"/>
  <c r="L88" i="1"/>
  <c r="M88" i="1" s="1"/>
  <c r="Q88" i="1"/>
  <c r="R88" i="1" s="1"/>
  <c r="P89" i="1" l="1"/>
  <c r="S89" i="1"/>
  <c r="K89" i="1"/>
  <c r="N89" i="1"/>
  <c r="T89" i="1" l="1"/>
  <c r="I89" i="1"/>
  <c r="C89" i="1"/>
  <c r="D89" i="1" l="1"/>
  <c r="F89" i="1"/>
  <c r="G89" i="1" s="1"/>
  <c r="L89" i="1" l="1"/>
  <c r="M89" i="1" s="1"/>
  <c r="E89" i="1"/>
  <c r="Q89" i="1"/>
  <c r="R89" i="1" s="1"/>
  <c r="N90" i="1" l="1"/>
  <c r="K90" i="1"/>
  <c r="P90" i="1"/>
  <c r="S90" i="1"/>
  <c r="T90" i="1" l="1"/>
  <c r="I90" i="1"/>
  <c r="C90" i="1"/>
  <c r="D90" i="1" l="1"/>
  <c r="F90" i="1"/>
  <c r="G90" i="1" s="1"/>
  <c r="Q90" i="1" l="1"/>
  <c r="R90" i="1" s="1"/>
  <c r="E90" i="1"/>
  <c r="L90" i="1"/>
  <c r="M90" i="1" s="1"/>
  <c r="S91" i="1" l="1"/>
  <c r="P91" i="1"/>
  <c r="K91" i="1"/>
  <c r="N91" i="1"/>
  <c r="T91" i="1" l="1"/>
  <c r="C91" i="1"/>
  <c r="I91" i="1"/>
  <c r="F91" i="1" l="1"/>
  <c r="G91" i="1" s="1"/>
  <c r="D91" i="1"/>
  <c r="Q91" i="1" l="1"/>
  <c r="R91" i="1" s="1"/>
  <c r="E91" i="1"/>
  <c r="L91" i="1"/>
  <c r="M91" i="1" s="1"/>
  <c r="P92" i="1" l="1"/>
  <c r="S92" i="1"/>
  <c r="N92" i="1"/>
  <c r="K92" i="1"/>
  <c r="T92" i="1" l="1"/>
  <c r="I92" i="1"/>
  <c r="C92" i="1"/>
  <c r="F92" i="1" l="1"/>
  <c r="G92" i="1" s="1"/>
  <c r="D92" i="1"/>
  <c r="E92" i="1" l="1"/>
  <c r="L92" i="1"/>
  <c r="M92" i="1" s="1"/>
  <c r="Q92" i="1"/>
  <c r="R92" i="1" s="1"/>
  <c r="P93" i="1" l="1"/>
  <c r="S93" i="1"/>
  <c r="K93" i="1"/>
  <c r="N93" i="1"/>
  <c r="T93" i="1" l="1"/>
  <c r="I93" i="1"/>
  <c r="C93" i="1"/>
  <c r="D93" i="1" l="1"/>
  <c r="F93" i="1"/>
  <c r="G93" i="1" s="1"/>
  <c r="L93" i="1" l="1"/>
  <c r="M93" i="1" s="1"/>
  <c r="E93" i="1"/>
  <c r="Q93" i="1"/>
  <c r="R93" i="1" s="1"/>
  <c r="K94" i="1" l="1"/>
  <c r="N94" i="1"/>
  <c r="P94" i="1"/>
  <c r="S94" i="1"/>
  <c r="T94" i="1" l="1"/>
  <c r="C94" i="1"/>
  <c r="I94" i="1"/>
  <c r="D94" i="1" l="1"/>
  <c r="F94" i="1"/>
  <c r="G94" i="1" s="1"/>
  <c r="E94" i="1" l="1"/>
  <c r="L94" i="1"/>
  <c r="M94" i="1" s="1"/>
  <c r="Q94" i="1"/>
  <c r="R94" i="1" s="1"/>
  <c r="S95" i="1" l="1"/>
  <c r="P95" i="1"/>
  <c r="K95" i="1"/>
  <c r="N95" i="1"/>
  <c r="T95" i="1" l="1"/>
  <c r="C95" i="1"/>
  <c r="I95" i="1"/>
  <c r="F95" i="1" l="1"/>
  <c r="G95" i="1" s="1"/>
  <c r="D95" i="1"/>
  <c r="Q95" i="1" l="1"/>
  <c r="R95" i="1" s="1"/>
  <c r="E95" i="1"/>
  <c r="L95" i="1"/>
  <c r="M95" i="1" s="1"/>
  <c r="P96" i="1" l="1"/>
  <c r="S96" i="1"/>
  <c r="N96" i="1"/>
  <c r="K96" i="1"/>
  <c r="T96" i="1" l="1"/>
  <c r="I96" i="1"/>
  <c r="C96" i="1"/>
  <c r="F96" i="1" l="1"/>
  <c r="G96" i="1" s="1"/>
  <c r="D96" i="1"/>
  <c r="E96" i="1" l="1"/>
  <c r="L96" i="1"/>
  <c r="M96" i="1" s="1"/>
  <c r="Q96" i="1"/>
  <c r="R96" i="1" s="1"/>
  <c r="P97" i="1" l="1"/>
  <c r="S97" i="1"/>
  <c r="K97" i="1"/>
  <c r="N97" i="1"/>
  <c r="T97" i="1" l="1"/>
  <c r="I97" i="1"/>
  <c r="C97" i="1"/>
  <c r="D97" i="1" l="1"/>
  <c r="F97" i="1"/>
  <c r="G97" i="1" s="1"/>
  <c r="Q97" i="1" l="1"/>
  <c r="R97" i="1" s="1"/>
  <c r="E97" i="1"/>
  <c r="L97" i="1"/>
  <c r="M97" i="1" s="1"/>
  <c r="P98" i="1" l="1"/>
  <c r="S98" i="1"/>
  <c r="N98" i="1"/>
  <c r="K98" i="1"/>
  <c r="T98" i="1" l="1"/>
  <c r="I98" i="1"/>
  <c r="C98" i="1"/>
  <c r="D98" i="1" l="1"/>
  <c r="F98" i="1"/>
  <c r="G98" i="1" s="1"/>
  <c r="Q98" i="1" l="1"/>
  <c r="R98" i="1" s="1"/>
  <c r="E98" i="1"/>
  <c r="L98" i="1"/>
  <c r="M98" i="1" s="1"/>
  <c r="P99" i="1" l="1"/>
  <c r="S99" i="1"/>
  <c r="K99" i="1"/>
  <c r="N99" i="1"/>
  <c r="T99" i="1" l="1"/>
  <c r="I99" i="1"/>
  <c r="C99" i="1"/>
  <c r="F99" i="1" l="1"/>
  <c r="G99" i="1" s="1"/>
  <c r="D99" i="1"/>
  <c r="Q99" i="1" l="1"/>
  <c r="R99" i="1" s="1"/>
  <c r="E99" i="1"/>
  <c r="L99" i="1"/>
  <c r="M99" i="1" s="1"/>
  <c r="P100" i="1" l="1"/>
  <c r="S100" i="1"/>
  <c r="N100" i="1"/>
  <c r="K100" i="1"/>
  <c r="T100" i="1" l="1"/>
  <c r="I100" i="1"/>
  <c r="C100" i="1"/>
  <c r="F100" i="1" l="1"/>
  <c r="G100" i="1" s="1"/>
  <c r="D100" i="1"/>
  <c r="E100" i="1" l="1"/>
  <c r="Q100" i="1"/>
  <c r="R100" i="1" s="1"/>
  <c r="L100" i="1"/>
  <c r="M100" i="1" s="1"/>
  <c r="K101" i="1" l="1"/>
  <c r="N101" i="1"/>
  <c r="P101" i="1"/>
  <c r="S101" i="1"/>
  <c r="T101" i="1" l="1"/>
  <c r="C101" i="1"/>
  <c r="I101" i="1"/>
  <c r="D101" i="1" l="1"/>
  <c r="F101" i="1"/>
  <c r="G101" i="1" s="1"/>
  <c r="L101" i="1" l="1"/>
  <c r="M101" i="1" s="1"/>
  <c r="E101" i="1"/>
  <c r="Q101" i="1"/>
  <c r="R101" i="1" s="1"/>
  <c r="K102" i="1" l="1"/>
  <c r="N102" i="1"/>
  <c r="S102" i="1"/>
  <c r="P102" i="1"/>
  <c r="T102" i="1" l="1"/>
  <c r="C102" i="1"/>
  <c r="I102" i="1"/>
  <c r="D102" i="1" l="1"/>
  <c r="F102" i="1"/>
  <c r="G102" i="1" s="1"/>
  <c r="Q102" i="1" l="1"/>
  <c r="R102" i="1" s="1"/>
  <c r="E102" i="1"/>
  <c r="L102" i="1"/>
  <c r="M102" i="1" s="1"/>
  <c r="P103" i="1" l="1"/>
  <c r="S103" i="1"/>
  <c r="K103" i="1"/>
  <c r="N103" i="1"/>
  <c r="T103" i="1" l="1"/>
  <c r="I103" i="1"/>
  <c r="C103" i="1"/>
  <c r="F103" i="1" l="1"/>
  <c r="G103" i="1" s="1"/>
  <c r="D103" i="1"/>
  <c r="Q103" i="1" l="1"/>
  <c r="R103" i="1" s="1"/>
  <c r="E103" i="1"/>
  <c r="L103" i="1"/>
  <c r="M103" i="1" s="1"/>
  <c r="N104" i="1" l="1"/>
  <c r="K104" i="1"/>
  <c r="P104" i="1"/>
  <c r="S104" i="1"/>
  <c r="T104" i="1" l="1"/>
  <c r="I104" i="1"/>
  <c r="C104" i="1"/>
  <c r="F104" i="1" l="1"/>
  <c r="G104" i="1" s="1"/>
  <c r="D104" i="1"/>
  <c r="E104" i="1" l="1"/>
  <c r="L104" i="1"/>
  <c r="M104" i="1" s="1"/>
  <c r="Q104" i="1"/>
  <c r="R104" i="1" s="1"/>
  <c r="S105" i="1" l="1"/>
  <c r="P105" i="1"/>
  <c r="K105" i="1"/>
  <c r="N105" i="1"/>
  <c r="T105" i="1" l="1"/>
  <c r="C105" i="1"/>
  <c r="I105" i="1"/>
  <c r="D105" i="1" l="1"/>
  <c r="F105" i="1"/>
  <c r="G105" i="1" s="1"/>
  <c r="Q105" i="1" l="1"/>
  <c r="R105" i="1" s="1"/>
  <c r="E105" i="1"/>
  <c r="L105" i="1"/>
  <c r="M105" i="1" s="1"/>
  <c r="P106" i="1" l="1"/>
  <c r="S106" i="1"/>
  <c r="N106" i="1"/>
  <c r="K106" i="1"/>
  <c r="T106" i="1" l="1"/>
  <c r="I106" i="1"/>
  <c r="C106" i="1"/>
  <c r="D106" i="1" l="1"/>
  <c r="F106" i="1"/>
  <c r="G106" i="1" s="1"/>
  <c r="Q106" i="1" l="1"/>
  <c r="R106" i="1" s="1"/>
  <c r="E106" i="1"/>
  <c r="L106" i="1"/>
  <c r="M106" i="1" s="1"/>
  <c r="S107" i="1" l="1"/>
  <c r="P107" i="1"/>
  <c r="N107" i="1"/>
  <c r="K107" i="1"/>
  <c r="T107" i="1" l="1"/>
  <c r="C107" i="1"/>
  <c r="I107" i="1"/>
  <c r="F107" i="1" l="1"/>
  <c r="G107" i="1" s="1"/>
  <c r="D107" i="1"/>
  <c r="Q107" i="1" l="1"/>
  <c r="R107" i="1" s="1"/>
  <c r="E107" i="1"/>
  <c r="L107" i="1"/>
  <c r="M107" i="1" s="1"/>
  <c r="P108" i="1" l="1"/>
  <c r="S108" i="1"/>
  <c r="K108" i="1"/>
  <c r="N108" i="1"/>
  <c r="T108" i="1" l="1"/>
  <c r="I108" i="1"/>
  <c r="C108" i="1"/>
  <c r="F108" i="1" l="1"/>
  <c r="G108" i="1" s="1"/>
  <c r="D108" i="1"/>
  <c r="E108" i="1" l="1"/>
  <c r="L108" i="1"/>
  <c r="M108" i="1" s="1"/>
  <c r="Q108" i="1"/>
  <c r="R108" i="1" s="1"/>
  <c r="P109" i="1" l="1"/>
  <c r="S109" i="1"/>
  <c r="N109" i="1"/>
  <c r="K109" i="1"/>
  <c r="T109" i="1" l="1"/>
  <c r="I109" i="1"/>
  <c r="C109" i="1"/>
  <c r="D109" i="1" l="1"/>
  <c r="F109" i="1"/>
  <c r="G109" i="1" s="1"/>
  <c r="Q109" i="1" l="1"/>
  <c r="R109" i="1" s="1"/>
  <c r="E109" i="1"/>
  <c r="L109" i="1"/>
  <c r="M109" i="1" s="1"/>
  <c r="P110" i="1" l="1"/>
  <c r="S110" i="1"/>
  <c r="K110" i="1"/>
  <c r="N110" i="1"/>
  <c r="T110" i="1" l="1"/>
  <c r="I110" i="1"/>
  <c r="C110" i="1"/>
  <c r="D110" i="1" l="1"/>
  <c r="F110" i="1"/>
  <c r="G110" i="1" s="1"/>
  <c r="Q110" i="1" l="1"/>
  <c r="R110" i="1" s="1"/>
  <c r="E110" i="1"/>
  <c r="L110" i="1"/>
  <c r="M110" i="1" s="1"/>
  <c r="P111" i="1" l="1"/>
  <c r="S111" i="1"/>
  <c r="N111" i="1"/>
  <c r="K111" i="1"/>
  <c r="T111" i="1" l="1"/>
  <c r="I111" i="1"/>
  <c r="C111" i="1"/>
  <c r="F111" i="1" l="1"/>
  <c r="G111" i="1" s="1"/>
  <c r="D111" i="1"/>
  <c r="Q111" i="1" l="1"/>
  <c r="R111" i="1" s="1"/>
  <c r="E111" i="1"/>
  <c r="L111" i="1"/>
  <c r="M111" i="1" s="1"/>
  <c r="P112" i="1" l="1"/>
  <c r="S112" i="1"/>
  <c r="K112" i="1"/>
  <c r="N112" i="1"/>
  <c r="T112" i="1" l="1"/>
  <c r="I112" i="1"/>
  <c r="C112" i="1"/>
  <c r="F112" i="1" l="1"/>
  <c r="G112" i="1" s="1"/>
  <c r="D112" i="1"/>
  <c r="E112" i="1" l="1"/>
  <c r="L112" i="1"/>
  <c r="M112" i="1" s="1"/>
  <c r="Q112" i="1"/>
  <c r="R112" i="1" s="1"/>
  <c r="P113" i="1" l="1"/>
  <c r="S113" i="1"/>
  <c r="N113" i="1"/>
  <c r="K113" i="1"/>
  <c r="T113" i="1" l="1"/>
  <c r="I113" i="1"/>
  <c r="C113" i="1"/>
  <c r="D113" i="1" l="1"/>
  <c r="F113" i="1"/>
  <c r="G113" i="1" s="1"/>
  <c r="Q113" i="1" l="1"/>
  <c r="R113" i="1" s="1"/>
  <c r="E113" i="1"/>
  <c r="L113" i="1"/>
  <c r="M113" i="1" s="1"/>
  <c r="S114" i="1" l="1"/>
  <c r="P114" i="1"/>
  <c r="N114" i="1"/>
  <c r="K114" i="1"/>
  <c r="T114" i="1" l="1"/>
  <c r="C114" i="1"/>
  <c r="I114" i="1"/>
  <c r="D114" i="1" l="1"/>
  <c r="F114" i="1"/>
  <c r="G114" i="1" s="1"/>
  <c r="Q114" i="1" l="1"/>
  <c r="R114" i="1" s="1"/>
  <c r="E114" i="1"/>
  <c r="L114" i="1"/>
  <c r="M114" i="1" s="1"/>
  <c r="P115" i="1" l="1"/>
  <c r="S115" i="1"/>
  <c r="K115" i="1"/>
  <c r="N115" i="1"/>
  <c r="T115" i="1" l="1"/>
  <c r="I115" i="1"/>
  <c r="C115" i="1"/>
  <c r="F115" i="1" l="1"/>
  <c r="G115" i="1" s="1"/>
  <c r="D115" i="1"/>
  <c r="Q115" i="1" l="1"/>
  <c r="R115" i="1" s="1"/>
  <c r="E115" i="1"/>
  <c r="L115" i="1"/>
  <c r="M115" i="1" s="1"/>
  <c r="P116" i="1" l="1"/>
  <c r="S116" i="1"/>
  <c r="N116" i="1"/>
  <c r="K116" i="1"/>
  <c r="T116" i="1" l="1"/>
  <c r="I116" i="1"/>
  <c r="C116" i="1"/>
  <c r="F116" i="1" l="1"/>
  <c r="G116" i="1" s="1"/>
  <c r="D116" i="1"/>
  <c r="E116" i="1" l="1"/>
  <c r="L116" i="1"/>
  <c r="M116" i="1" s="1"/>
  <c r="Q116" i="1"/>
  <c r="R116" i="1" s="1"/>
  <c r="P117" i="1" l="1"/>
  <c r="S117" i="1"/>
  <c r="K117" i="1"/>
  <c r="N117" i="1"/>
  <c r="T117" i="1" l="1"/>
  <c r="I117" i="1"/>
  <c r="C117" i="1"/>
  <c r="D117" i="1" l="1"/>
  <c r="F117" i="1"/>
  <c r="G117" i="1" s="1"/>
  <c r="L117" i="1" l="1"/>
  <c r="M117" i="1" s="1"/>
  <c r="E117" i="1"/>
  <c r="Q117" i="1"/>
  <c r="R117" i="1" s="1"/>
  <c r="N118" i="1" l="1"/>
  <c r="K118" i="1"/>
  <c r="P118" i="1"/>
  <c r="S118" i="1"/>
  <c r="T118" i="1" l="1"/>
  <c r="I118" i="1"/>
  <c r="C118" i="1"/>
  <c r="D118" i="1" l="1"/>
  <c r="F118" i="1"/>
  <c r="G118" i="1" s="1"/>
  <c r="Q118" i="1" l="1"/>
  <c r="R118" i="1" s="1"/>
  <c r="E118" i="1"/>
  <c r="L118" i="1"/>
  <c r="M118" i="1" s="1"/>
  <c r="S119" i="1" l="1"/>
  <c r="P119" i="1"/>
  <c r="K119" i="1"/>
  <c r="N119" i="1"/>
  <c r="T119" i="1" l="1"/>
  <c r="C119" i="1"/>
  <c r="I119" i="1"/>
  <c r="F119" i="1" l="1"/>
  <c r="G119" i="1" s="1"/>
  <c r="D119" i="1"/>
  <c r="Q119" i="1" l="1"/>
  <c r="R119" i="1" s="1"/>
  <c r="E119" i="1"/>
  <c r="L119" i="1"/>
  <c r="M119" i="1" s="1"/>
  <c r="P120" i="1" l="1"/>
  <c r="S120" i="1"/>
  <c r="N120" i="1"/>
  <c r="K120" i="1"/>
  <c r="T120" i="1" l="1"/>
  <c r="I120" i="1"/>
  <c r="C120" i="1"/>
  <c r="F120" i="1" l="1"/>
  <c r="G120" i="1" s="1"/>
  <c r="D120" i="1"/>
  <c r="E120" i="1" l="1"/>
  <c r="L120" i="1"/>
  <c r="M120" i="1" s="1"/>
  <c r="Q120" i="1"/>
  <c r="R120" i="1" s="1"/>
  <c r="P121" i="1" l="1"/>
  <c r="S121" i="1"/>
  <c r="K121" i="1"/>
  <c r="N121" i="1"/>
  <c r="T121" i="1" l="1"/>
  <c r="I121" i="1"/>
  <c r="C121" i="1"/>
  <c r="D121" i="1" l="1"/>
  <c r="F121" i="1"/>
  <c r="G121" i="1" s="1"/>
  <c r="Q121" i="1" l="1"/>
  <c r="R121" i="1" s="1"/>
  <c r="E121" i="1"/>
  <c r="L121" i="1"/>
  <c r="M121" i="1" s="1"/>
  <c r="P122" i="1" l="1"/>
  <c r="S122" i="1"/>
  <c r="N122" i="1"/>
  <c r="K122" i="1"/>
  <c r="T122" i="1" l="1"/>
  <c r="I122" i="1"/>
  <c r="C122" i="1"/>
  <c r="D122" i="1" l="1"/>
  <c r="F122" i="1"/>
  <c r="G122" i="1" s="1"/>
  <c r="Q122" i="1" l="1"/>
  <c r="R122" i="1" s="1"/>
  <c r="E122" i="1"/>
  <c r="L122" i="1"/>
  <c r="M122" i="1" s="1"/>
  <c r="P123" i="1" l="1"/>
  <c r="S123" i="1"/>
  <c r="K123" i="1"/>
  <c r="N123" i="1"/>
  <c r="T123" i="1" l="1"/>
  <c r="C123" i="1"/>
  <c r="I123" i="1"/>
  <c r="F123" i="1" l="1"/>
  <c r="G123" i="1" s="1"/>
  <c r="D123" i="1"/>
  <c r="Q123" i="1" l="1"/>
  <c r="R123" i="1" s="1"/>
  <c r="E123" i="1"/>
  <c r="L123" i="1"/>
  <c r="M123" i="1" s="1"/>
  <c r="P124" i="1" l="1"/>
  <c r="S124" i="1"/>
  <c r="K124" i="1"/>
  <c r="N124" i="1"/>
  <c r="T124" i="1" l="1"/>
  <c r="I124" i="1"/>
  <c r="C124" i="1"/>
  <c r="F124" i="1" l="1"/>
  <c r="G124" i="1" s="1"/>
  <c r="D124" i="1"/>
  <c r="E124" i="1" l="1"/>
  <c r="L124" i="1"/>
  <c r="M124" i="1" s="1"/>
  <c r="Q124" i="1"/>
  <c r="R124" i="1" s="1"/>
  <c r="P125" i="1" l="1"/>
  <c r="S125" i="1"/>
  <c r="N125" i="1"/>
  <c r="K125" i="1"/>
  <c r="T125" i="1" l="1"/>
  <c r="I125" i="1"/>
  <c r="C125" i="1"/>
  <c r="D125" i="1" l="1"/>
  <c r="F125" i="1"/>
  <c r="G125" i="1" s="1"/>
  <c r="Q125" i="1" l="1"/>
  <c r="R125" i="1" s="1"/>
  <c r="E125" i="1"/>
  <c r="L125" i="1"/>
  <c r="M125" i="1" s="1"/>
  <c r="P126" i="1" l="1"/>
  <c r="S126" i="1"/>
  <c r="K126" i="1"/>
  <c r="N126" i="1"/>
  <c r="T126" i="1" l="1"/>
  <c r="I126" i="1"/>
  <c r="C126" i="1"/>
  <c r="D126" i="1" l="1"/>
  <c r="F126" i="1"/>
  <c r="G126" i="1" s="1"/>
  <c r="Q126" i="1" l="1"/>
  <c r="R126" i="1" s="1"/>
  <c r="E126" i="1"/>
  <c r="L126" i="1"/>
  <c r="M126" i="1" s="1"/>
  <c r="P127" i="1" l="1"/>
  <c r="S127" i="1"/>
  <c r="N127" i="1"/>
  <c r="K127" i="1"/>
  <c r="T127" i="1" l="1"/>
  <c r="I127" i="1"/>
  <c r="C127" i="1"/>
  <c r="F127" i="1" l="1"/>
  <c r="G127" i="1" s="1"/>
  <c r="D127" i="1"/>
  <c r="Q127" i="1" l="1"/>
  <c r="R127" i="1" s="1"/>
  <c r="E127" i="1"/>
  <c r="L127" i="1"/>
  <c r="M127" i="1" s="1"/>
  <c r="P128" i="1" l="1"/>
  <c r="S128" i="1"/>
  <c r="K128" i="1"/>
  <c r="N128" i="1"/>
  <c r="T128" i="1" l="1"/>
  <c r="I128" i="1"/>
  <c r="C128" i="1"/>
  <c r="F128" i="1" l="1"/>
  <c r="G128" i="1" s="1"/>
  <c r="D128" i="1"/>
  <c r="E128" i="1" l="1"/>
  <c r="L128" i="1"/>
  <c r="M128" i="1" s="1"/>
  <c r="Q128" i="1"/>
  <c r="R128" i="1" s="1"/>
  <c r="P129" i="1" l="1"/>
  <c r="S129" i="1"/>
  <c r="N129" i="1"/>
  <c r="K129" i="1"/>
  <c r="T129" i="1" l="1"/>
  <c r="I129" i="1"/>
  <c r="C129" i="1"/>
  <c r="D129" i="1" l="1"/>
  <c r="F129" i="1"/>
  <c r="G129" i="1" s="1"/>
  <c r="Q129" i="1" l="1"/>
  <c r="R129" i="1" s="1"/>
  <c r="E129" i="1"/>
  <c r="L129" i="1"/>
  <c r="M129" i="1" s="1"/>
  <c r="P130" i="1" l="1"/>
  <c r="S130" i="1"/>
  <c r="K130" i="1"/>
  <c r="N130" i="1"/>
  <c r="T130" i="1" l="1"/>
  <c r="I130" i="1"/>
  <c r="C130" i="1"/>
  <c r="D130" i="1" l="1"/>
  <c r="F130" i="1"/>
  <c r="G130" i="1" s="1"/>
  <c r="Q130" i="1" l="1"/>
  <c r="R130" i="1" s="1"/>
  <c r="E130" i="1"/>
  <c r="L130" i="1"/>
  <c r="M130" i="1" s="1"/>
  <c r="P131" i="1" l="1"/>
  <c r="S131" i="1"/>
  <c r="N131" i="1"/>
  <c r="K131" i="1"/>
  <c r="T131" i="1" l="1"/>
  <c r="I131" i="1"/>
  <c r="C131" i="1"/>
  <c r="F131" i="1" l="1"/>
  <c r="G131" i="1" s="1"/>
  <c r="D131" i="1"/>
  <c r="Q131" i="1" l="1"/>
  <c r="R131" i="1" s="1"/>
  <c r="E131" i="1"/>
  <c r="L131" i="1"/>
  <c r="M131" i="1" s="1"/>
  <c r="P132" i="1" l="1"/>
  <c r="S132" i="1"/>
  <c r="K132" i="1"/>
  <c r="N132" i="1"/>
  <c r="T132" i="1" l="1"/>
  <c r="I132" i="1"/>
  <c r="C132" i="1"/>
  <c r="F132" i="1" l="1"/>
  <c r="G132" i="1" s="1"/>
  <c r="D132" i="1"/>
  <c r="E132" i="1" l="1"/>
  <c r="L132" i="1"/>
  <c r="M132" i="1" s="1"/>
  <c r="Q132" i="1"/>
  <c r="R132" i="1" s="1"/>
  <c r="P133" i="1" l="1"/>
  <c r="S133" i="1"/>
  <c r="N133" i="1"/>
  <c r="K133" i="1"/>
  <c r="T133" i="1" l="1"/>
  <c r="I133" i="1"/>
  <c r="C133" i="1"/>
  <c r="D133" i="1" l="1"/>
  <c r="F133" i="1"/>
  <c r="G133" i="1" s="1"/>
  <c r="Q133" i="1" l="1"/>
  <c r="R133" i="1" s="1"/>
  <c r="E133" i="1"/>
  <c r="L133" i="1"/>
  <c r="M133" i="1" s="1"/>
  <c r="P134" i="1" l="1"/>
  <c r="S134" i="1"/>
  <c r="K134" i="1"/>
  <c r="N134" i="1"/>
  <c r="T134" i="1" l="1"/>
  <c r="I134" i="1"/>
  <c r="C134" i="1"/>
  <c r="D134" i="1" l="1"/>
  <c r="F134" i="1"/>
  <c r="G134" i="1" s="1"/>
  <c r="Q134" i="1" l="1"/>
  <c r="R134" i="1" s="1"/>
  <c r="E134" i="1"/>
  <c r="L134" i="1"/>
  <c r="M134" i="1" s="1"/>
  <c r="P135" i="1" l="1"/>
  <c r="S135" i="1"/>
  <c r="N135" i="1"/>
  <c r="K135" i="1"/>
  <c r="T135" i="1" l="1"/>
  <c r="I135" i="1"/>
  <c r="C135" i="1"/>
  <c r="F135" i="1" l="1"/>
  <c r="G135" i="1" s="1"/>
  <c r="D135" i="1"/>
  <c r="Q135" i="1" l="1"/>
  <c r="R135" i="1" s="1"/>
  <c r="E135" i="1"/>
  <c r="L135" i="1"/>
  <c r="M135" i="1" s="1"/>
  <c r="P136" i="1" l="1"/>
  <c r="S136" i="1"/>
  <c r="K136" i="1"/>
  <c r="N136" i="1"/>
  <c r="T136" i="1" l="1"/>
  <c r="I136" i="1"/>
  <c r="C136" i="1"/>
  <c r="F136" i="1" l="1"/>
  <c r="G136" i="1" s="1"/>
  <c r="D136" i="1"/>
  <c r="E136" i="1" l="1"/>
  <c r="L136" i="1"/>
  <c r="M136" i="1" s="1"/>
  <c r="Q136" i="1"/>
  <c r="R136" i="1" s="1"/>
  <c r="P137" i="1" l="1"/>
  <c r="S137" i="1"/>
  <c r="N137" i="1"/>
  <c r="K137" i="1"/>
  <c r="T137" i="1" l="1"/>
  <c r="I137" i="1"/>
  <c r="C137" i="1"/>
  <c r="D137" i="1" l="1"/>
  <c r="F137" i="1"/>
  <c r="G137" i="1" s="1"/>
  <c r="Q137" i="1" l="1"/>
  <c r="R137" i="1" s="1"/>
  <c r="E137" i="1"/>
  <c r="L137" i="1"/>
  <c r="M137" i="1" s="1"/>
  <c r="P138" i="1" l="1"/>
  <c r="S138" i="1"/>
  <c r="K138" i="1"/>
  <c r="N138" i="1"/>
  <c r="T138" i="1" l="1"/>
  <c r="I138" i="1"/>
  <c r="C138" i="1"/>
  <c r="D138" i="1" l="1"/>
  <c r="F138" i="1"/>
  <c r="G138" i="1" s="1"/>
  <c r="Q138" i="1" l="1"/>
  <c r="R138" i="1" s="1"/>
  <c r="E138" i="1"/>
  <c r="L138" i="1"/>
  <c r="M138" i="1" s="1"/>
  <c r="P139" i="1" l="1"/>
  <c r="S139" i="1"/>
  <c r="N139" i="1"/>
  <c r="K139" i="1"/>
  <c r="T139" i="1" l="1"/>
  <c r="I139" i="1"/>
  <c r="C139" i="1"/>
  <c r="F139" i="1" l="1"/>
  <c r="G139" i="1" s="1"/>
  <c r="D139" i="1"/>
  <c r="Q139" i="1" l="1"/>
  <c r="R139" i="1" s="1"/>
  <c r="E139" i="1"/>
  <c r="L139" i="1"/>
  <c r="M139" i="1" s="1"/>
  <c r="P140" i="1" l="1"/>
  <c r="S140" i="1"/>
  <c r="K140" i="1"/>
  <c r="N140" i="1"/>
  <c r="T140" i="1" l="1"/>
  <c r="I140" i="1"/>
  <c r="C140" i="1"/>
  <c r="F140" i="1" l="1"/>
  <c r="G140" i="1" s="1"/>
  <c r="D140" i="1"/>
  <c r="E140" i="1" l="1"/>
  <c r="L140" i="1"/>
  <c r="M140" i="1" s="1"/>
  <c r="Q140" i="1"/>
  <c r="R140" i="1" s="1"/>
  <c r="P141" i="1" l="1"/>
  <c r="S141" i="1"/>
  <c r="N141" i="1"/>
  <c r="K141" i="1"/>
  <c r="T141" i="1" l="1"/>
  <c r="I141" i="1"/>
  <c r="C141" i="1"/>
  <c r="D141" i="1" l="1"/>
  <c r="F141" i="1"/>
  <c r="G141" i="1" s="1"/>
  <c r="L141" i="1" l="1"/>
  <c r="M141" i="1" s="1"/>
  <c r="Q141" i="1"/>
  <c r="R141" i="1" s="1"/>
  <c r="E141" i="1"/>
  <c r="K142" i="1" l="1"/>
  <c r="N142" i="1"/>
  <c r="P142" i="1"/>
  <c r="S142" i="1"/>
  <c r="T142" i="1" l="1"/>
  <c r="C142" i="1"/>
  <c r="I142" i="1"/>
  <c r="D142" i="1" l="1"/>
  <c r="F142" i="1"/>
  <c r="G142" i="1" s="1"/>
  <c r="Q142" i="1" l="1"/>
  <c r="R142" i="1" s="1"/>
  <c r="E142" i="1"/>
  <c r="L142" i="1"/>
  <c r="M142" i="1" s="1"/>
  <c r="S143" i="1" l="1"/>
  <c r="P143" i="1"/>
  <c r="K143" i="1"/>
  <c r="N143" i="1"/>
  <c r="T143" i="1" l="1"/>
  <c r="C143" i="1"/>
  <c r="I143" i="1"/>
  <c r="F143" i="1" l="1"/>
  <c r="G143" i="1" s="1"/>
  <c r="D143" i="1"/>
  <c r="Q143" i="1" l="1"/>
  <c r="R143" i="1" s="1"/>
  <c r="E143" i="1"/>
  <c r="L143" i="1"/>
  <c r="M143" i="1" s="1"/>
  <c r="P144" i="1" l="1"/>
  <c r="S144" i="1"/>
  <c r="N144" i="1"/>
  <c r="K144" i="1"/>
  <c r="T144" i="1" l="1"/>
  <c r="I144" i="1"/>
  <c r="C144" i="1"/>
  <c r="F144" i="1" l="1"/>
  <c r="G144" i="1" s="1"/>
  <c r="D144" i="1"/>
  <c r="E144" i="1" l="1"/>
  <c r="L144" i="1"/>
  <c r="M144" i="1" s="1"/>
  <c r="Q144" i="1"/>
  <c r="R144" i="1" s="1"/>
  <c r="P145" i="1" l="1"/>
  <c r="S145" i="1"/>
  <c r="K145" i="1"/>
  <c r="N145" i="1"/>
  <c r="T145" i="1" l="1"/>
  <c r="I145" i="1"/>
  <c r="C145" i="1"/>
  <c r="D145" i="1" l="1"/>
  <c r="F145" i="1"/>
  <c r="G145" i="1" s="1"/>
  <c r="Q145" i="1" l="1"/>
  <c r="R145" i="1" s="1"/>
  <c r="E145" i="1"/>
  <c r="L145" i="1"/>
  <c r="M145" i="1" s="1"/>
  <c r="P146" i="1" l="1"/>
  <c r="S146" i="1"/>
  <c r="N146" i="1"/>
  <c r="K146" i="1"/>
  <c r="T146" i="1" l="1"/>
  <c r="I146" i="1"/>
  <c r="C146" i="1"/>
  <c r="D146" i="1" l="1"/>
  <c r="F146" i="1"/>
  <c r="G146" i="1" s="1"/>
  <c r="Q146" i="1" l="1"/>
  <c r="R146" i="1" s="1"/>
  <c r="E146" i="1"/>
  <c r="L146" i="1"/>
  <c r="M146" i="1" s="1"/>
  <c r="S147" i="1" l="1"/>
  <c r="P147" i="1"/>
  <c r="N147" i="1"/>
  <c r="K147" i="1"/>
  <c r="T147" i="1" l="1"/>
  <c r="C147" i="1"/>
  <c r="I147" i="1"/>
  <c r="F147" i="1" l="1"/>
  <c r="G147" i="1" s="1"/>
  <c r="D147" i="1"/>
  <c r="Q147" i="1" l="1"/>
  <c r="R147" i="1" s="1"/>
  <c r="E147" i="1"/>
  <c r="L147" i="1"/>
  <c r="M147" i="1" s="1"/>
  <c r="P148" i="1" l="1"/>
  <c r="S148" i="1"/>
  <c r="K148" i="1"/>
  <c r="N148" i="1"/>
  <c r="T148" i="1" l="1"/>
  <c r="I148" i="1"/>
  <c r="C148" i="1"/>
  <c r="F148" i="1" l="1"/>
  <c r="G148" i="1" s="1"/>
  <c r="D148" i="1"/>
  <c r="E148" i="1" l="1"/>
  <c r="L148" i="1"/>
  <c r="M148" i="1" s="1"/>
  <c r="Q148" i="1"/>
  <c r="R148" i="1" s="1"/>
  <c r="P149" i="1" l="1"/>
  <c r="S149" i="1"/>
  <c r="N149" i="1"/>
  <c r="K149" i="1"/>
  <c r="T149" i="1" l="1"/>
  <c r="I149" i="1"/>
  <c r="C149" i="1"/>
  <c r="D149" i="1" l="1"/>
  <c r="F149" i="1"/>
  <c r="G149" i="1" s="1"/>
  <c r="Q149" i="1" l="1"/>
  <c r="R149" i="1" s="1"/>
  <c r="E149" i="1"/>
  <c r="L149" i="1"/>
  <c r="M149" i="1" s="1"/>
  <c r="P150" i="1" l="1"/>
  <c r="S150" i="1"/>
  <c r="K150" i="1"/>
  <c r="N150" i="1"/>
  <c r="T150" i="1" l="1"/>
  <c r="I150" i="1"/>
  <c r="C150" i="1"/>
  <c r="D150" i="1" l="1"/>
  <c r="F150" i="1"/>
  <c r="G150" i="1" s="1"/>
  <c r="Q150" i="1" l="1"/>
  <c r="R150" i="1" s="1"/>
  <c r="E150" i="1"/>
  <c r="L150" i="1"/>
  <c r="M150" i="1" s="1"/>
  <c r="P151" i="1" l="1"/>
  <c r="S151" i="1"/>
  <c r="N151" i="1"/>
  <c r="K151" i="1"/>
  <c r="T151" i="1" l="1"/>
  <c r="I151" i="1"/>
  <c r="C151" i="1"/>
  <c r="F151" i="1" l="1"/>
  <c r="G151" i="1" s="1"/>
  <c r="D151" i="1"/>
  <c r="Q151" i="1" l="1"/>
  <c r="R151" i="1" s="1"/>
  <c r="E151" i="1"/>
  <c r="L151" i="1"/>
  <c r="M151" i="1" s="1"/>
  <c r="S152" i="1" l="1"/>
  <c r="P152" i="1"/>
  <c r="N152" i="1"/>
  <c r="K152" i="1"/>
  <c r="T152" i="1" l="1"/>
  <c r="C152" i="1"/>
  <c r="I152" i="1"/>
  <c r="F152" i="1" l="1"/>
  <c r="G152" i="1" s="1"/>
  <c r="D152" i="1"/>
  <c r="E152" i="1" l="1"/>
  <c r="L152" i="1"/>
  <c r="M152" i="1" s="1"/>
  <c r="Q152" i="1"/>
  <c r="R152" i="1" s="1"/>
  <c r="P153" i="1" l="1"/>
  <c r="S153" i="1"/>
  <c r="K153" i="1"/>
  <c r="N153" i="1"/>
  <c r="T153" i="1" l="1"/>
  <c r="I153" i="1"/>
  <c r="C153" i="1"/>
  <c r="D153" i="1" l="1"/>
  <c r="F153" i="1"/>
  <c r="G153" i="1" s="1"/>
  <c r="Q153" i="1" l="1"/>
  <c r="R153" i="1" s="1"/>
  <c r="E153" i="1"/>
  <c r="L153" i="1"/>
  <c r="M153" i="1" s="1"/>
  <c r="P154" i="1" l="1"/>
  <c r="S154" i="1"/>
  <c r="N154" i="1"/>
  <c r="K154" i="1"/>
  <c r="T154" i="1" l="1"/>
  <c r="I154" i="1"/>
  <c r="C154" i="1"/>
  <c r="D154" i="1" l="1"/>
  <c r="F154" i="1"/>
  <c r="G154" i="1" s="1"/>
  <c r="Q154" i="1" l="1"/>
  <c r="R154" i="1" s="1"/>
  <c r="L154" i="1"/>
  <c r="M154" i="1" s="1"/>
  <c r="E154" i="1"/>
  <c r="P155" i="1" l="1"/>
  <c r="S155" i="1"/>
  <c r="K155" i="1"/>
  <c r="N155" i="1"/>
  <c r="T155" i="1" l="1"/>
  <c r="I155" i="1"/>
  <c r="C155" i="1"/>
  <c r="D155" i="1" l="1"/>
  <c r="F155" i="1"/>
  <c r="G155" i="1" s="1"/>
  <c r="Q155" i="1" l="1"/>
  <c r="R155" i="1" s="1"/>
  <c r="E155" i="1"/>
  <c r="L155" i="1"/>
  <c r="M155" i="1" s="1"/>
  <c r="P156" i="1" l="1"/>
  <c r="S156" i="1"/>
  <c r="N156" i="1"/>
  <c r="K156" i="1"/>
  <c r="T156" i="1" l="1"/>
  <c r="I156" i="1"/>
  <c r="C156" i="1"/>
  <c r="D156" i="1" l="1"/>
  <c r="F156" i="1"/>
  <c r="G156" i="1" s="1"/>
  <c r="E156" i="1" l="1"/>
  <c r="L156" i="1"/>
  <c r="M156" i="1" s="1"/>
  <c r="Q156" i="1"/>
  <c r="R156" i="1" s="1"/>
  <c r="P157" i="1" l="1"/>
  <c r="S157" i="1"/>
  <c r="K157" i="1"/>
  <c r="N157" i="1"/>
  <c r="T157" i="1" l="1"/>
  <c r="I157" i="1"/>
  <c r="C157" i="1"/>
  <c r="F157" i="1" l="1"/>
  <c r="G157" i="1" s="1"/>
  <c r="D157" i="1"/>
  <c r="L157" i="1" l="1"/>
  <c r="M157" i="1" s="1"/>
  <c r="Q157" i="1"/>
  <c r="R157" i="1" s="1"/>
  <c r="E157" i="1"/>
  <c r="N158" i="1" l="1"/>
  <c r="K158" i="1"/>
  <c r="P158" i="1"/>
  <c r="S158" i="1"/>
  <c r="T158" i="1" l="1"/>
  <c r="I158" i="1"/>
  <c r="C158" i="1"/>
  <c r="D158" i="1" l="1"/>
  <c r="F158" i="1"/>
  <c r="G158" i="1" s="1"/>
  <c r="L158" i="1" l="1"/>
  <c r="M158" i="1" s="1"/>
  <c r="Q158" i="1"/>
  <c r="R158" i="1" s="1"/>
  <c r="E158" i="1"/>
  <c r="K159" i="1" l="1"/>
  <c r="N159" i="1"/>
  <c r="S159" i="1"/>
  <c r="P159" i="1"/>
  <c r="T159" i="1" l="1"/>
  <c r="C159" i="1"/>
  <c r="I159" i="1"/>
  <c r="F159" i="1" l="1"/>
  <c r="G159" i="1" s="1"/>
  <c r="D159" i="1"/>
  <c r="Q159" i="1" l="1"/>
  <c r="R159" i="1" s="1"/>
  <c r="E159" i="1"/>
  <c r="L159" i="1"/>
  <c r="M159" i="1" s="1"/>
  <c r="P160" i="1" l="1"/>
  <c r="S160" i="1"/>
  <c r="K160" i="1"/>
  <c r="N160" i="1"/>
  <c r="T160" i="1" l="1"/>
  <c r="I160" i="1"/>
  <c r="C160" i="1"/>
  <c r="D160" i="1" l="1"/>
  <c r="F160" i="1"/>
  <c r="G160" i="1" s="1"/>
  <c r="Q160" i="1" l="1"/>
  <c r="R160" i="1" s="1"/>
  <c r="L160" i="1"/>
  <c r="M160" i="1" s="1"/>
  <c r="E160" i="1"/>
  <c r="P161" i="1" l="1"/>
  <c r="S161" i="1"/>
  <c r="N161" i="1"/>
  <c r="K161" i="1"/>
  <c r="T161" i="1" l="1"/>
  <c r="I161" i="1"/>
  <c r="C161" i="1"/>
  <c r="D161" i="1" l="1"/>
  <c r="F161" i="1"/>
  <c r="G161" i="1" s="1"/>
  <c r="L161" i="1" l="1"/>
  <c r="M161" i="1" s="1"/>
  <c r="Q161" i="1"/>
  <c r="R161" i="1" s="1"/>
  <c r="E161" i="1"/>
  <c r="N162" i="1" l="1"/>
  <c r="K162" i="1"/>
  <c r="S162" i="1"/>
  <c r="P162" i="1"/>
  <c r="T162" i="1" l="1"/>
  <c r="I162" i="1"/>
  <c r="C162" i="1"/>
  <c r="F162" i="1" l="1"/>
  <c r="G162" i="1" s="1"/>
  <c r="D162" i="1"/>
  <c r="L162" i="1" l="1"/>
  <c r="M162" i="1" s="1"/>
  <c r="Q162" i="1"/>
  <c r="R162" i="1" s="1"/>
  <c r="E162" i="1"/>
  <c r="K163" i="1" l="1"/>
  <c r="N163" i="1"/>
  <c r="P163" i="1"/>
  <c r="S163" i="1"/>
  <c r="T163" i="1" l="1"/>
  <c r="C163" i="1"/>
  <c r="I163" i="1"/>
  <c r="F163" i="1" l="1"/>
  <c r="G163" i="1" s="1"/>
  <c r="D163" i="1"/>
  <c r="Q163" i="1" l="1"/>
  <c r="R163" i="1" s="1"/>
  <c r="E163" i="1"/>
  <c r="L163" i="1"/>
  <c r="M163" i="1" s="1"/>
  <c r="S164" i="1" l="1"/>
  <c r="P164" i="1"/>
  <c r="K164" i="1"/>
  <c r="N164" i="1"/>
  <c r="T164" i="1" l="1"/>
  <c r="C164" i="1"/>
  <c r="I164" i="1"/>
  <c r="D164" i="1" l="1"/>
  <c r="F164" i="1"/>
  <c r="G164" i="1" s="1"/>
  <c r="L164" i="1" l="1"/>
  <c r="M164" i="1" s="1"/>
  <c r="E164" i="1"/>
  <c r="Q164" i="1"/>
  <c r="R164" i="1" s="1"/>
  <c r="N165" i="1" l="1"/>
  <c r="K165" i="1"/>
  <c r="P165" i="1"/>
  <c r="S165" i="1"/>
  <c r="T165" i="1" l="1"/>
  <c r="I165" i="1"/>
  <c r="C165" i="1"/>
  <c r="D165" i="1" l="1"/>
  <c r="F165" i="1"/>
  <c r="G165" i="1" s="1"/>
  <c r="L165" i="1" l="1"/>
  <c r="M165" i="1" s="1"/>
  <c r="Q165" i="1"/>
  <c r="R165" i="1" s="1"/>
  <c r="E165" i="1"/>
  <c r="K166" i="1" l="1"/>
  <c r="N166" i="1"/>
  <c r="S166" i="1"/>
  <c r="P166" i="1"/>
  <c r="T166" i="1" l="1"/>
  <c r="C166" i="1"/>
  <c r="I166" i="1"/>
  <c r="F166" i="1" l="1"/>
  <c r="G166" i="1" s="1"/>
  <c r="D166" i="1"/>
  <c r="L166" i="1" l="1"/>
  <c r="M166" i="1" s="1"/>
  <c r="E166" i="1"/>
  <c r="Q166" i="1"/>
  <c r="R166" i="1" s="1"/>
  <c r="N167" i="1" l="1"/>
  <c r="K167" i="1"/>
  <c r="S167" i="1"/>
  <c r="P167" i="1"/>
  <c r="T167" i="1" l="1"/>
  <c r="I167" i="1"/>
  <c r="C167" i="1"/>
  <c r="F167" i="1" l="1"/>
  <c r="G167" i="1" s="1"/>
  <c r="D167" i="1"/>
  <c r="Q167" i="1" l="1"/>
  <c r="R167" i="1" s="1"/>
  <c r="E167" i="1"/>
  <c r="L167" i="1"/>
  <c r="M167" i="1" s="1"/>
  <c r="P168" i="1" l="1"/>
  <c r="S168" i="1"/>
  <c r="K168" i="1"/>
  <c r="N168" i="1"/>
  <c r="T168" i="1" l="1"/>
  <c r="I168" i="1"/>
  <c r="C168" i="1"/>
  <c r="D168" i="1" l="1"/>
  <c r="F168" i="1"/>
  <c r="G168" i="1" s="1"/>
  <c r="L168" i="1" l="1"/>
  <c r="M168" i="1" s="1"/>
  <c r="Q168" i="1"/>
  <c r="R168" i="1" s="1"/>
  <c r="E168" i="1"/>
  <c r="N169" i="1" l="1"/>
  <c r="K169" i="1"/>
  <c r="P169" i="1"/>
  <c r="S169" i="1"/>
  <c r="T169" i="1" l="1"/>
  <c r="I169" i="1"/>
  <c r="C169" i="1"/>
  <c r="D169" i="1" l="1"/>
  <c r="F169" i="1"/>
  <c r="G169" i="1" s="1"/>
  <c r="L169" i="1" l="1"/>
  <c r="M169" i="1" s="1"/>
  <c r="E169" i="1"/>
  <c r="Q169" i="1"/>
  <c r="R169" i="1" s="1"/>
  <c r="K170" i="1" l="1"/>
  <c r="N170" i="1"/>
  <c r="S170" i="1"/>
  <c r="P170" i="1"/>
  <c r="T170" i="1" l="1"/>
  <c r="C170" i="1"/>
  <c r="I170" i="1"/>
  <c r="F170" i="1" l="1"/>
  <c r="G170" i="1" s="1"/>
  <c r="D170" i="1"/>
  <c r="L170" i="1" l="1"/>
  <c r="M170" i="1" s="1"/>
  <c r="Q170" i="1"/>
  <c r="R170" i="1" s="1"/>
  <c r="E170" i="1"/>
  <c r="N171" i="1" l="1"/>
  <c r="K171" i="1"/>
  <c r="S171" i="1"/>
  <c r="P171" i="1"/>
  <c r="T171" i="1" l="1"/>
  <c r="I171" i="1"/>
  <c r="C171" i="1"/>
  <c r="F171" i="1" l="1"/>
  <c r="G171" i="1" s="1"/>
  <c r="D171" i="1"/>
  <c r="Q171" i="1" l="1"/>
  <c r="R171" i="1" s="1"/>
  <c r="L171" i="1"/>
  <c r="M171" i="1" s="1"/>
  <c r="E171" i="1"/>
  <c r="P172" i="1" l="1"/>
  <c r="S172" i="1"/>
  <c r="K172" i="1"/>
  <c r="N172" i="1"/>
  <c r="T172" i="1" l="1"/>
  <c r="I172" i="1"/>
  <c r="C172" i="1"/>
  <c r="D172" i="1" l="1"/>
  <c r="F172" i="1"/>
  <c r="G172" i="1" s="1"/>
  <c r="E172" i="1" l="1"/>
  <c r="L172" i="1"/>
  <c r="M172" i="1" s="1"/>
  <c r="Q172" i="1"/>
  <c r="R172" i="1" s="1"/>
  <c r="P173" i="1" l="1"/>
  <c r="S173" i="1"/>
  <c r="N173" i="1"/>
  <c r="K173" i="1"/>
  <c r="T173" i="1" l="1"/>
  <c r="I173" i="1"/>
  <c r="C173" i="1"/>
  <c r="D173" i="1" l="1"/>
  <c r="F173" i="1"/>
  <c r="G173" i="1" s="1"/>
  <c r="E173" i="1" l="1"/>
  <c r="L173" i="1"/>
  <c r="M173" i="1" s="1"/>
  <c r="Q173" i="1"/>
  <c r="R173" i="1" s="1"/>
  <c r="S174" i="1" l="1"/>
  <c r="P174" i="1"/>
  <c r="N174" i="1"/>
  <c r="K174" i="1"/>
  <c r="T174" i="1" l="1"/>
  <c r="C174" i="1"/>
  <c r="I174" i="1"/>
  <c r="D174" i="1" l="1"/>
  <c r="F174" i="1"/>
  <c r="G174" i="1" s="1"/>
  <c r="E174" i="1" l="1"/>
  <c r="L174" i="1"/>
  <c r="M174" i="1" s="1"/>
  <c r="Q174" i="1"/>
  <c r="R174" i="1" s="1"/>
  <c r="P175" i="1" l="1"/>
  <c r="S175" i="1"/>
  <c r="K175" i="1"/>
  <c r="N175" i="1"/>
  <c r="T175" i="1" l="1"/>
  <c r="I175" i="1"/>
  <c r="C175" i="1"/>
  <c r="F175" i="1" l="1"/>
  <c r="G175" i="1" s="1"/>
  <c r="D175" i="1"/>
  <c r="Q175" i="1" l="1"/>
  <c r="R175" i="1" s="1"/>
  <c r="L175" i="1"/>
  <c r="M175" i="1" s="1"/>
  <c r="E175" i="1"/>
  <c r="P176" i="1" l="1"/>
  <c r="S176" i="1"/>
  <c r="N176" i="1"/>
  <c r="K176" i="1"/>
  <c r="T176" i="1" l="1"/>
  <c r="I176" i="1"/>
  <c r="C176" i="1"/>
  <c r="D176" i="1" l="1"/>
  <c r="F176" i="1"/>
  <c r="G176" i="1" s="1"/>
  <c r="Q176" i="1" l="1"/>
  <c r="R176" i="1" s="1"/>
  <c r="L176" i="1"/>
  <c r="M176" i="1" s="1"/>
  <c r="E176" i="1"/>
  <c r="S177" i="1" l="1"/>
  <c r="P177" i="1"/>
  <c r="N177" i="1"/>
  <c r="K177" i="1"/>
  <c r="T177" i="1" l="1"/>
  <c r="C177" i="1"/>
  <c r="I177" i="1"/>
  <c r="D177" i="1" l="1"/>
  <c r="F177" i="1"/>
  <c r="G177" i="1" s="1"/>
  <c r="L177" i="1" l="1"/>
  <c r="M177" i="1" s="1"/>
  <c r="Q177" i="1"/>
  <c r="R177" i="1" s="1"/>
  <c r="E177" i="1"/>
  <c r="K178" i="1" l="1"/>
  <c r="N178" i="1"/>
  <c r="P178" i="1"/>
  <c r="S178" i="1"/>
  <c r="T178" i="1" l="1"/>
  <c r="C178" i="1"/>
  <c r="I178" i="1"/>
  <c r="F178" i="1" l="1"/>
  <c r="G178" i="1" s="1"/>
  <c r="D178" i="1"/>
  <c r="L178" i="1" l="1"/>
  <c r="M178" i="1" s="1"/>
  <c r="Q178" i="1"/>
  <c r="R178" i="1" s="1"/>
  <c r="E178" i="1"/>
  <c r="K179" i="1" l="1"/>
  <c r="N179" i="1"/>
  <c r="S179" i="1"/>
  <c r="P179" i="1"/>
  <c r="T179" i="1" l="1"/>
  <c r="C179" i="1"/>
  <c r="I179" i="1"/>
  <c r="F179" i="1" l="1"/>
  <c r="G179" i="1" s="1"/>
  <c r="D179" i="1"/>
  <c r="Q179" i="1" l="1"/>
  <c r="R179" i="1" s="1"/>
  <c r="L179" i="1"/>
  <c r="M179" i="1" s="1"/>
  <c r="E179" i="1"/>
  <c r="S180" i="1" l="1"/>
  <c r="P180" i="1"/>
  <c r="N180" i="1"/>
  <c r="K180" i="1"/>
  <c r="T180" i="1" l="1"/>
  <c r="C180" i="1"/>
  <c r="I180" i="1"/>
  <c r="D180" i="1" l="1"/>
  <c r="F180" i="1"/>
  <c r="G180" i="1" s="1"/>
  <c r="L180" i="1" l="1"/>
  <c r="M180" i="1" s="1"/>
  <c r="Q180" i="1"/>
  <c r="R180" i="1" s="1"/>
  <c r="E180" i="1"/>
  <c r="K181" i="1" l="1"/>
  <c r="N181" i="1"/>
  <c r="P181" i="1"/>
  <c r="S181" i="1"/>
  <c r="T181" i="1" l="1"/>
  <c r="C181" i="1"/>
  <c r="I181" i="1"/>
  <c r="D181" i="1" l="1"/>
  <c r="F181" i="1"/>
  <c r="G181" i="1" s="1"/>
  <c r="L181" i="1" l="1"/>
  <c r="M181" i="1" s="1"/>
  <c r="E181" i="1"/>
  <c r="Q181" i="1"/>
  <c r="R181" i="1" s="1"/>
  <c r="K182" i="1" l="1"/>
  <c r="N182" i="1"/>
  <c r="S182" i="1"/>
  <c r="P182" i="1"/>
  <c r="T182" i="1" l="1"/>
  <c r="C182" i="1"/>
  <c r="I182" i="1"/>
  <c r="F182" i="1" l="1"/>
  <c r="G182" i="1" s="1"/>
  <c r="D182" i="1"/>
  <c r="L182" i="1" l="1"/>
  <c r="M182" i="1" s="1"/>
  <c r="Q182" i="1"/>
  <c r="R182" i="1" s="1"/>
  <c r="E182" i="1"/>
  <c r="N183" i="1" l="1"/>
  <c r="K183" i="1"/>
  <c r="S183" i="1"/>
  <c r="P183" i="1"/>
  <c r="T183" i="1" l="1"/>
  <c r="I183" i="1"/>
  <c r="C183" i="1"/>
  <c r="F183" i="1" l="1"/>
  <c r="G183" i="1" s="1"/>
  <c r="D183" i="1"/>
  <c r="Q183" i="1" l="1"/>
  <c r="R183" i="1" s="1"/>
  <c r="E183" i="1"/>
  <c r="L183" i="1"/>
  <c r="M183" i="1" s="1"/>
  <c r="P184" i="1" l="1"/>
  <c r="S184" i="1"/>
  <c r="K184" i="1"/>
  <c r="N184" i="1"/>
  <c r="T184" i="1" l="1"/>
  <c r="I184" i="1"/>
  <c r="C184" i="1"/>
  <c r="D184" i="1" l="1"/>
  <c r="F184" i="1"/>
  <c r="G184" i="1" s="1"/>
  <c r="L184" i="1" l="1"/>
  <c r="M184" i="1" s="1"/>
  <c r="Q184" i="1"/>
  <c r="R184" i="1" s="1"/>
  <c r="E184" i="1"/>
  <c r="N185" i="1" l="1"/>
  <c r="K185" i="1"/>
  <c r="P185" i="1"/>
  <c r="S185" i="1"/>
  <c r="T185" i="1" l="1"/>
  <c r="I185" i="1"/>
  <c r="C185" i="1"/>
  <c r="D185" i="1" l="1"/>
  <c r="F185" i="1"/>
  <c r="G185" i="1" s="1"/>
  <c r="L185" i="1" l="1"/>
  <c r="M185" i="1" s="1"/>
  <c r="Q185" i="1"/>
  <c r="R185" i="1" s="1"/>
  <c r="E185" i="1"/>
  <c r="K186" i="1" l="1"/>
  <c r="N186" i="1"/>
  <c r="S186" i="1"/>
  <c r="P186" i="1"/>
  <c r="T186" i="1" l="1"/>
  <c r="C186" i="1"/>
  <c r="I186" i="1"/>
  <c r="F186" i="1" l="1"/>
  <c r="G186" i="1" s="1"/>
  <c r="D186" i="1"/>
  <c r="L186" i="1" l="1"/>
  <c r="M186" i="1" s="1"/>
  <c r="Q186" i="1"/>
  <c r="R186" i="1" s="1"/>
  <c r="E186" i="1"/>
  <c r="K187" i="1" l="1"/>
  <c r="N187" i="1"/>
  <c r="P187" i="1"/>
  <c r="S187" i="1"/>
  <c r="T187" i="1" l="1"/>
  <c r="C187" i="1"/>
  <c r="I187" i="1"/>
  <c r="F187" i="1" l="1"/>
  <c r="G187" i="1" s="1"/>
  <c r="D187" i="1"/>
  <c r="Q187" i="1" l="1"/>
  <c r="R187" i="1" s="1"/>
  <c r="E187" i="1"/>
  <c r="L187" i="1"/>
  <c r="M187" i="1" s="1"/>
  <c r="S188" i="1" l="1"/>
  <c r="P188" i="1"/>
  <c r="K188" i="1"/>
  <c r="N188" i="1"/>
  <c r="T188" i="1" l="1"/>
  <c r="C188" i="1"/>
  <c r="I188" i="1"/>
  <c r="D188" i="1" l="1"/>
  <c r="F188" i="1"/>
  <c r="G188" i="1" s="1"/>
  <c r="L188" i="1" l="1"/>
  <c r="M188" i="1" s="1"/>
  <c r="Q188" i="1"/>
  <c r="R188" i="1" s="1"/>
  <c r="E188" i="1"/>
  <c r="N189" i="1" l="1"/>
  <c r="K189" i="1"/>
  <c r="P189" i="1"/>
  <c r="S189" i="1"/>
  <c r="T189" i="1" l="1"/>
  <c r="I189" i="1"/>
  <c r="C189" i="1"/>
  <c r="D189" i="1" l="1"/>
  <c r="F189" i="1"/>
  <c r="G189" i="1" s="1"/>
  <c r="L189" i="1" l="1"/>
  <c r="M189" i="1" s="1"/>
  <c r="E189" i="1"/>
  <c r="Q189" i="1"/>
  <c r="R189" i="1" s="1"/>
  <c r="K190" i="1" l="1"/>
  <c r="N190" i="1"/>
  <c r="S190" i="1"/>
  <c r="P190" i="1"/>
  <c r="T190" i="1" l="1"/>
  <c r="C190" i="1"/>
  <c r="I190" i="1"/>
  <c r="F190" i="1" l="1"/>
  <c r="G190" i="1" s="1"/>
  <c r="D190" i="1"/>
  <c r="L190" i="1" l="1"/>
  <c r="M190" i="1" s="1"/>
  <c r="Q190" i="1"/>
  <c r="R190" i="1" s="1"/>
  <c r="E190" i="1"/>
  <c r="N191" i="1" l="1"/>
  <c r="K191" i="1"/>
  <c r="S191" i="1"/>
  <c r="P191" i="1"/>
  <c r="T191" i="1" l="1"/>
  <c r="I191" i="1"/>
  <c r="C191" i="1"/>
  <c r="F191" i="1" l="1"/>
  <c r="G191" i="1" s="1"/>
  <c r="D191" i="1"/>
  <c r="Q191" i="1" l="1"/>
  <c r="R191" i="1" s="1"/>
  <c r="E191" i="1"/>
  <c r="L191" i="1"/>
  <c r="M191" i="1" s="1"/>
  <c r="P192" i="1" l="1"/>
  <c r="S192" i="1"/>
  <c r="K192" i="1"/>
  <c r="N192" i="1"/>
  <c r="T192" i="1" l="1"/>
  <c r="I192" i="1"/>
  <c r="C192" i="1"/>
  <c r="D192" i="1" l="1"/>
  <c r="F192" i="1"/>
  <c r="G192" i="1" s="1"/>
  <c r="Q192" i="1" l="1"/>
  <c r="R192" i="1" s="1"/>
  <c r="L192" i="1"/>
  <c r="M192" i="1" s="1"/>
  <c r="E192" i="1"/>
  <c r="P193" i="1" l="1"/>
  <c r="S193" i="1"/>
  <c r="N193" i="1"/>
  <c r="K193" i="1"/>
  <c r="T193" i="1" l="1"/>
  <c r="I193" i="1"/>
  <c r="C193" i="1"/>
  <c r="D193" i="1" l="1"/>
  <c r="F193" i="1"/>
  <c r="G193" i="1" s="1"/>
  <c r="L193" i="1" l="1"/>
  <c r="M193" i="1" s="1"/>
  <c r="E193" i="1"/>
  <c r="Q193" i="1"/>
  <c r="R193" i="1" s="1"/>
  <c r="N194" i="1" l="1"/>
  <c r="K194" i="1"/>
  <c r="S194" i="1"/>
  <c r="P194" i="1"/>
  <c r="T194" i="1" l="1"/>
  <c r="I194" i="1"/>
  <c r="C194" i="1"/>
  <c r="F194" i="1" l="1"/>
  <c r="G194" i="1" s="1"/>
  <c r="D194" i="1"/>
  <c r="Q194" i="1" l="1"/>
  <c r="R194" i="1" s="1"/>
  <c r="L194" i="1"/>
  <c r="M194" i="1" s="1"/>
  <c r="E194" i="1"/>
  <c r="P195" i="1" l="1"/>
  <c r="S195" i="1"/>
  <c r="K195" i="1"/>
  <c r="N195" i="1"/>
  <c r="T195" i="1" l="1"/>
  <c r="I195" i="1"/>
  <c r="C195" i="1"/>
  <c r="D195" i="1" l="1"/>
  <c r="F195" i="1"/>
  <c r="G195" i="1" s="1"/>
  <c r="L195" i="1" l="1"/>
  <c r="M195" i="1" s="1"/>
  <c r="E195" i="1"/>
  <c r="Q195" i="1"/>
  <c r="R195" i="1" s="1"/>
  <c r="N196" i="1" l="1"/>
  <c r="K196" i="1"/>
  <c r="P196" i="1"/>
  <c r="S196" i="1"/>
  <c r="T196" i="1" l="1"/>
  <c r="I196" i="1"/>
  <c r="C196" i="1"/>
  <c r="F196" i="1" l="1"/>
  <c r="G196" i="1" s="1"/>
  <c r="D196" i="1"/>
  <c r="L196" i="1" l="1"/>
  <c r="M196" i="1" s="1"/>
  <c r="Q196" i="1"/>
  <c r="R196" i="1" s="1"/>
  <c r="E196" i="1"/>
  <c r="S197" i="1" l="1"/>
  <c r="P197" i="1"/>
  <c r="K197" i="1"/>
  <c r="N197" i="1"/>
  <c r="T197" i="1" l="1"/>
  <c r="C197" i="1"/>
  <c r="I197" i="1"/>
  <c r="F197" i="1" l="1"/>
  <c r="G197" i="1" s="1"/>
  <c r="D197" i="1"/>
  <c r="Q197" i="1" l="1"/>
  <c r="R197" i="1" s="1"/>
  <c r="L197" i="1"/>
  <c r="M197" i="1" s="1"/>
  <c r="E197" i="1"/>
  <c r="P198" i="1" l="1"/>
  <c r="S198" i="1"/>
  <c r="N198" i="1"/>
  <c r="K198" i="1"/>
  <c r="T198" i="1" l="1"/>
  <c r="I198" i="1"/>
  <c r="C198" i="1"/>
  <c r="D198" i="1" l="1"/>
  <c r="F198" i="1"/>
  <c r="G198" i="1" s="1"/>
  <c r="L198" i="1" l="1"/>
  <c r="M198" i="1" s="1"/>
  <c r="Q198" i="1"/>
  <c r="R198" i="1" s="1"/>
  <c r="E198" i="1"/>
  <c r="N199" i="1" l="1"/>
  <c r="K199" i="1"/>
  <c r="S199" i="1"/>
  <c r="P199" i="1"/>
  <c r="T199" i="1" l="1"/>
  <c r="I199" i="1"/>
  <c r="C199" i="1"/>
  <c r="D199" i="1" l="1"/>
  <c r="F199" i="1"/>
  <c r="G199" i="1" s="1"/>
  <c r="L199" i="1" l="1"/>
  <c r="M199" i="1" s="1"/>
  <c r="Q199" i="1"/>
  <c r="R199" i="1" s="1"/>
  <c r="E199" i="1"/>
  <c r="K200" i="1" l="1"/>
  <c r="N200" i="1"/>
  <c r="P200" i="1"/>
  <c r="S200" i="1"/>
  <c r="T200" i="1" l="1"/>
  <c r="C200" i="1"/>
  <c r="I200" i="1"/>
  <c r="F200" i="1" l="1"/>
  <c r="G200" i="1" s="1"/>
  <c r="D200" i="1"/>
  <c r="L200" i="1" l="1"/>
  <c r="M200" i="1" s="1"/>
  <c r="Q200" i="1"/>
  <c r="R200" i="1" s="1"/>
  <c r="E200" i="1"/>
  <c r="K201" i="1" l="1"/>
  <c r="N201" i="1"/>
  <c r="S201" i="1"/>
  <c r="P201" i="1"/>
  <c r="T201" i="1" l="1"/>
  <c r="C201" i="1"/>
  <c r="I201" i="1"/>
  <c r="F201" i="1" l="1"/>
  <c r="G201" i="1" s="1"/>
  <c r="D201" i="1"/>
  <c r="Q201" i="1" l="1"/>
  <c r="R201" i="1" s="1"/>
  <c r="E201" i="1"/>
  <c r="L201" i="1"/>
  <c r="M201" i="1" s="1"/>
  <c r="S202" i="1" l="1"/>
  <c r="P202" i="1"/>
  <c r="N202" i="1"/>
  <c r="K202" i="1"/>
  <c r="T202" i="1" l="1"/>
  <c r="C202" i="1"/>
  <c r="I202" i="1"/>
  <c r="D202" i="1" l="1"/>
  <c r="F202" i="1"/>
  <c r="G202" i="1" s="1"/>
  <c r="Q202" i="1" l="1"/>
  <c r="R202" i="1" s="1"/>
  <c r="L202" i="1"/>
  <c r="M202" i="1" s="1"/>
  <c r="E202" i="1"/>
  <c r="P203" i="1" l="1"/>
  <c r="S203" i="1"/>
  <c r="K203" i="1"/>
  <c r="N203" i="1"/>
  <c r="T203" i="1" l="1"/>
  <c r="I203" i="1"/>
  <c r="C203" i="1"/>
  <c r="D203" i="1" l="1"/>
  <c r="F203" i="1"/>
  <c r="G203" i="1" s="1"/>
  <c r="L203" i="1" l="1"/>
  <c r="M203" i="1" s="1"/>
  <c r="E203" i="1"/>
  <c r="Q203" i="1"/>
  <c r="R203" i="1" s="1"/>
  <c r="N204" i="1" l="1"/>
  <c r="K204" i="1"/>
  <c r="P204" i="1"/>
  <c r="S204" i="1"/>
  <c r="T204" i="1" l="1"/>
  <c r="I204" i="1"/>
  <c r="C204" i="1"/>
  <c r="F204" i="1" l="1"/>
  <c r="G204" i="1" s="1"/>
  <c r="D204" i="1"/>
  <c r="L204" i="1" l="1"/>
  <c r="M204" i="1" s="1"/>
  <c r="Q204" i="1"/>
  <c r="R204" i="1" s="1"/>
  <c r="E204" i="1"/>
  <c r="K205" i="1" l="1"/>
  <c r="N205" i="1"/>
  <c r="S205" i="1"/>
  <c r="P205" i="1"/>
  <c r="T205" i="1" l="1"/>
  <c r="C205" i="1"/>
  <c r="I205" i="1"/>
  <c r="F205" i="1" l="1"/>
  <c r="G205" i="1" s="1"/>
  <c r="D205" i="1"/>
  <c r="Q205" i="1" l="1"/>
  <c r="R205" i="1" s="1"/>
  <c r="L205" i="1"/>
  <c r="M205" i="1" s="1"/>
  <c r="E205" i="1"/>
  <c r="S206" i="1" l="1"/>
  <c r="P206" i="1"/>
  <c r="N206" i="1"/>
  <c r="K206" i="1"/>
  <c r="T206" i="1" l="1"/>
  <c r="C206" i="1"/>
  <c r="I206" i="1"/>
  <c r="D206" i="1" l="1"/>
  <c r="F206" i="1"/>
  <c r="G206" i="1" s="1"/>
  <c r="L206" i="1" l="1"/>
  <c r="M206" i="1" s="1"/>
  <c r="Q206" i="1"/>
  <c r="R206" i="1" s="1"/>
  <c r="E206" i="1"/>
  <c r="K207" i="1" l="1"/>
  <c r="N207" i="1"/>
  <c r="P207" i="1"/>
  <c r="S207" i="1"/>
  <c r="T207" i="1" l="1"/>
  <c r="C207" i="1"/>
  <c r="I207" i="1"/>
  <c r="D207" i="1" l="1"/>
  <c r="F207" i="1"/>
  <c r="G207" i="1" s="1"/>
  <c r="L207" i="1" l="1"/>
  <c r="M207" i="1" s="1"/>
  <c r="Q207" i="1"/>
  <c r="R207" i="1" s="1"/>
  <c r="E207" i="1"/>
  <c r="K208" i="1" l="1"/>
  <c r="N208" i="1"/>
  <c r="S208" i="1"/>
  <c r="P208" i="1"/>
  <c r="T208" i="1" l="1"/>
  <c r="C208" i="1"/>
  <c r="I208" i="1"/>
  <c r="F208" i="1" l="1"/>
  <c r="G208" i="1" s="1"/>
  <c r="D208" i="1"/>
  <c r="L208" i="1" l="1"/>
  <c r="M208" i="1" s="1"/>
  <c r="Q208" i="1"/>
  <c r="R208" i="1" s="1"/>
  <c r="E208" i="1"/>
  <c r="N209" i="1" l="1"/>
  <c r="K209" i="1"/>
  <c r="S209" i="1"/>
  <c r="P209" i="1"/>
  <c r="T209" i="1" l="1"/>
  <c r="I209" i="1"/>
  <c r="C209" i="1"/>
  <c r="F209" i="1" l="1"/>
  <c r="G209" i="1" s="1"/>
  <c r="D209" i="1"/>
  <c r="Q209" i="1" l="1"/>
  <c r="R209" i="1" s="1"/>
  <c r="L209" i="1"/>
  <c r="M209" i="1" s="1"/>
  <c r="E209" i="1"/>
  <c r="P210" i="1" l="1"/>
  <c r="S210" i="1"/>
  <c r="K210" i="1"/>
  <c r="N210" i="1"/>
  <c r="T210" i="1" l="1"/>
  <c r="I210" i="1"/>
  <c r="C210" i="1"/>
  <c r="D210" i="1" l="1"/>
  <c r="F210" i="1"/>
  <c r="G210" i="1" s="1"/>
  <c r="L210" i="1" l="1"/>
  <c r="M210" i="1" s="1"/>
  <c r="Q210" i="1"/>
  <c r="R210" i="1" s="1"/>
  <c r="E210" i="1"/>
  <c r="N211" i="1" l="1"/>
  <c r="K211" i="1"/>
  <c r="P211" i="1"/>
  <c r="S211" i="1"/>
  <c r="T211" i="1" l="1"/>
  <c r="I211" i="1"/>
  <c r="C211" i="1"/>
  <c r="D211" i="1" l="1"/>
  <c r="F211" i="1"/>
  <c r="G211" i="1" s="1"/>
  <c r="L211" i="1" l="1"/>
  <c r="M211" i="1" s="1"/>
  <c r="Q211" i="1"/>
  <c r="R211" i="1" s="1"/>
  <c r="E211" i="1"/>
  <c r="K212" i="1" l="1"/>
  <c r="N212" i="1"/>
  <c r="S212" i="1"/>
  <c r="P212" i="1"/>
  <c r="T212" i="1" l="1"/>
  <c r="C212" i="1"/>
  <c r="I212" i="1"/>
  <c r="D212" i="1" l="1"/>
  <c r="F212" i="1"/>
  <c r="G212" i="1" s="1"/>
  <c r="Q212" i="1" l="1"/>
  <c r="R212" i="1" s="1"/>
  <c r="L212" i="1"/>
  <c r="M212" i="1" s="1"/>
  <c r="E212" i="1"/>
  <c r="S213" i="1" l="1"/>
  <c r="P213" i="1"/>
  <c r="N213" i="1"/>
  <c r="K213" i="1"/>
  <c r="T213" i="1" l="1"/>
  <c r="C213" i="1"/>
  <c r="I213" i="1"/>
  <c r="F213" i="1" l="1"/>
  <c r="G213" i="1" s="1"/>
  <c r="D213" i="1"/>
  <c r="Q213" i="1" l="1"/>
  <c r="R213" i="1" s="1"/>
  <c r="L213" i="1"/>
  <c r="M213" i="1" s="1"/>
  <c r="E213" i="1"/>
  <c r="P214" i="1" l="1"/>
  <c r="S214" i="1"/>
  <c r="K214" i="1"/>
  <c r="N214" i="1"/>
  <c r="T214" i="1" l="1"/>
  <c r="I214" i="1"/>
  <c r="C214" i="1"/>
  <c r="F214" i="1" l="1"/>
  <c r="G214" i="1" s="1"/>
  <c r="D214" i="1"/>
  <c r="L214" i="1" l="1"/>
  <c r="M214" i="1" s="1"/>
  <c r="Q214" i="1"/>
  <c r="R214" i="1" s="1"/>
  <c r="E214" i="1"/>
  <c r="N215" i="1" l="1"/>
  <c r="K215" i="1"/>
  <c r="P215" i="1"/>
  <c r="S215" i="1"/>
  <c r="T215" i="1" l="1"/>
  <c r="I215" i="1"/>
  <c r="C215" i="1"/>
  <c r="D215" i="1" l="1"/>
  <c r="F215" i="1"/>
  <c r="G215" i="1" s="1"/>
  <c r="E215" i="1" l="1"/>
  <c r="Q215" i="1"/>
  <c r="R215" i="1" s="1"/>
  <c r="L215" i="1"/>
  <c r="M215" i="1" s="1"/>
  <c r="N216" i="1" l="1"/>
  <c r="K216" i="1"/>
  <c r="S216" i="1"/>
  <c r="P216" i="1"/>
  <c r="T216" i="1" l="1"/>
  <c r="I216" i="1"/>
  <c r="C216" i="1"/>
  <c r="D216" i="1" l="1"/>
  <c r="F216" i="1"/>
  <c r="G216" i="1" s="1"/>
  <c r="L216" i="1" l="1"/>
  <c r="M216" i="1" s="1"/>
  <c r="E216" i="1"/>
  <c r="Q216" i="1"/>
  <c r="R216" i="1" s="1"/>
  <c r="P217" i="1" l="1"/>
  <c r="S217" i="1"/>
  <c r="K217" i="1"/>
  <c r="N217" i="1"/>
  <c r="T217" i="1" l="1"/>
  <c r="C217" i="1"/>
  <c r="I217" i="1"/>
  <c r="F217" i="1" l="1"/>
  <c r="G217" i="1" s="1"/>
  <c r="D217" i="1"/>
  <c r="L217" i="1" l="1"/>
  <c r="M217" i="1" s="1"/>
  <c r="Q217" i="1"/>
  <c r="R217" i="1" s="1"/>
  <c r="E217" i="1"/>
  <c r="P218" i="1" l="1"/>
  <c r="S218" i="1"/>
  <c r="N218" i="1"/>
  <c r="K218" i="1"/>
  <c r="T218" i="1" l="1"/>
  <c r="C218" i="1"/>
  <c r="I218" i="1"/>
  <c r="F218" i="1" l="1"/>
  <c r="G218" i="1" s="1"/>
  <c r="D218" i="1"/>
  <c r="Q218" i="1" l="1"/>
  <c r="R218" i="1" s="1"/>
  <c r="E218" i="1"/>
  <c r="L218" i="1"/>
  <c r="M218" i="1" s="1"/>
  <c r="K219" i="1" l="1"/>
  <c r="N219" i="1"/>
  <c r="P219" i="1"/>
  <c r="S219" i="1"/>
  <c r="T219" i="1" l="1"/>
  <c r="I219" i="1"/>
  <c r="C219" i="1"/>
  <c r="D219" i="1" l="1"/>
  <c r="F219" i="1"/>
  <c r="G219" i="1" s="1"/>
  <c r="Q219" i="1" l="1"/>
  <c r="R219" i="1" s="1"/>
  <c r="E219" i="1"/>
  <c r="L219" i="1"/>
  <c r="M219" i="1" s="1"/>
  <c r="N220" i="1" l="1"/>
  <c r="K220" i="1"/>
  <c r="S220" i="1"/>
  <c r="P220" i="1"/>
  <c r="T220" i="1" l="1"/>
  <c r="I220" i="1"/>
  <c r="C220" i="1"/>
  <c r="D220" i="1" l="1"/>
  <c r="F220" i="1"/>
  <c r="G220" i="1" s="1"/>
  <c r="E220" i="1" l="1"/>
  <c r="Q220" i="1"/>
  <c r="R220" i="1" s="1"/>
  <c r="L220" i="1"/>
  <c r="M220" i="1" s="1"/>
  <c r="K221" i="1" l="1"/>
  <c r="N221" i="1"/>
  <c r="S221" i="1"/>
  <c r="P221" i="1"/>
  <c r="T221" i="1" l="1"/>
  <c r="I221" i="1"/>
  <c r="C221" i="1"/>
  <c r="F221" i="1" l="1"/>
  <c r="G221" i="1" s="1"/>
  <c r="D221" i="1"/>
  <c r="L221" i="1" l="1"/>
  <c r="M221" i="1" s="1"/>
  <c r="Q221" i="1"/>
  <c r="R221" i="1" s="1"/>
  <c r="E221" i="1"/>
  <c r="K222" i="1" l="1"/>
  <c r="N222" i="1"/>
  <c r="S222" i="1"/>
  <c r="P222" i="1"/>
  <c r="T222" i="1" l="1"/>
  <c r="C222" i="1"/>
  <c r="I222" i="1"/>
  <c r="F222" i="1" l="1"/>
  <c r="G222" i="1" s="1"/>
  <c r="D222" i="1"/>
  <c r="Q222" i="1" l="1"/>
  <c r="R222" i="1" s="1"/>
  <c r="L222" i="1"/>
  <c r="M222" i="1" s="1"/>
  <c r="E222" i="1"/>
  <c r="S223" i="1" l="1"/>
  <c r="P223" i="1"/>
  <c r="N223" i="1"/>
  <c r="K223" i="1"/>
  <c r="T223" i="1" l="1"/>
  <c r="C223" i="1"/>
  <c r="I223" i="1"/>
  <c r="D223" i="1" l="1"/>
  <c r="F223" i="1"/>
  <c r="G223" i="1" s="1"/>
  <c r="E223" i="1" l="1"/>
  <c r="Q223" i="1"/>
  <c r="R223" i="1" s="1"/>
  <c r="L223" i="1"/>
  <c r="M223" i="1" s="1"/>
  <c r="K224" i="1" l="1"/>
  <c r="N224" i="1"/>
  <c r="P224" i="1"/>
  <c r="S224" i="1"/>
  <c r="T224" i="1" l="1"/>
  <c r="C224" i="1"/>
  <c r="I224" i="1"/>
  <c r="D224" i="1" l="1"/>
  <c r="F224" i="1"/>
  <c r="G224" i="1" s="1"/>
  <c r="L224" i="1" l="1"/>
  <c r="M224" i="1" s="1"/>
  <c r="E224" i="1"/>
  <c r="Q224" i="1"/>
  <c r="R224" i="1" s="1"/>
  <c r="K225" i="1" l="1"/>
  <c r="N225" i="1"/>
  <c r="S225" i="1"/>
  <c r="P225" i="1"/>
  <c r="T225" i="1" l="1"/>
  <c r="C225" i="1"/>
  <c r="I225" i="1"/>
  <c r="F225" i="1" l="1"/>
  <c r="G225" i="1" s="1"/>
  <c r="D225" i="1"/>
  <c r="L225" i="1" l="1"/>
  <c r="M225" i="1" s="1"/>
  <c r="Q225" i="1"/>
  <c r="R225" i="1" s="1"/>
  <c r="E225" i="1"/>
  <c r="N226" i="1" l="1"/>
  <c r="K226" i="1"/>
  <c r="S226" i="1"/>
  <c r="P226" i="1"/>
  <c r="T226" i="1" l="1"/>
  <c r="I226" i="1"/>
  <c r="C226" i="1"/>
  <c r="F226" i="1" l="1"/>
  <c r="G226" i="1" s="1"/>
  <c r="D226" i="1"/>
  <c r="Q226" i="1" l="1"/>
  <c r="R226" i="1" s="1"/>
  <c r="L226" i="1"/>
  <c r="M226" i="1" s="1"/>
  <c r="E226" i="1"/>
  <c r="P227" i="1" l="1"/>
  <c r="S227" i="1"/>
  <c r="K227" i="1"/>
  <c r="N227" i="1"/>
  <c r="T227" i="1" l="1"/>
  <c r="I227" i="1"/>
  <c r="C227" i="1"/>
  <c r="D227" i="1" l="1"/>
  <c r="F227" i="1"/>
  <c r="G227" i="1" s="1"/>
  <c r="Q227" i="1" l="1"/>
  <c r="R227" i="1" s="1"/>
  <c r="L227" i="1"/>
  <c r="M227" i="1" s="1"/>
  <c r="E227" i="1"/>
  <c r="P228" i="1" l="1"/>
  <c r="S228" i="1"/>
  <c r="N228" i="1"/>
  <c r="K228" i="1"/>
  <c r="T228" i="1" l="1"/>
  <c r="I228" i="1"/>
  <c r="C228" i="1"/>
  <c r="D228" i="1" l="1"/>
  <c r="F228" i="1"/>
  <c r="G228" i="1" s="1"/>
  <c r="Q228" i="1" l="1"/>
  <c r="R228" i="1" s="1"/>
  <c r="E228" i="1"/>
  <c r="L228" i="1"/>
  <c r="M228" i="1" s="1"/>
  <c r="S229" i="1" l="1"/>
  <c r="P229" i="1"/>
  <c r="N229" i="1"/>
  <c r="K229" i="1"/>
  <c r="T229" i="1" l="1"/>
  <c r="C229" i="1"/>
  <c r="I229" i="1"/>
  <c r="F229" i="1" l="1"/>
  <c r="G229" i="1" s="1"/>
  <c r="D229" i="1"/>
  <c r="L229" i="1" l="1"/>
  <c r="M229" i="1" s="1"/>
  <c r="Q229" i="1"/>
  <c r="R229" i="1" s="1"/>
  <c r="E229" i="1"/>
  <c r="K230" i="1" l="1"/>
  <c r="N230" i="1"/>
  <c r="P230" i="1"/>
  <c r="S230" i="1"/>
  <c r="T230" i="1" l="1"/>
  <c r="C230" i="1"/>
  <c r="I230" i="1"/>
  <c r="F230" i="1" l="1"/>
  <c r="G230" i="1" s="1"/>
  <c r="D230" i="1"/>
  <c r="Q230" i="1" l="1"/>
  <c r="R230" i="1" s="1"/>
  <c r="L230" i="1"/>
  <c r="M230" i="1" s="1"/>
  <c r="E230" i="1"/>
  <c r="S231" i="1" l="1"/>
  <c r="P231" i="1"/>
  <c r="K231" i="1"/>
  <c r="N231" i="1"/>
  <c r="T231" i="1" l="1"/>
  <c r="C231" i="1"/>
  <c r="I231" i="1"/>
  <c r="D231" i="1" l="1"/>
  <c r="F231" i="1"/>
  <c r="G231" i="1" s="1"/>
  <c r="E231" i="1" l="1"/>
  <c r="Q231" i="1"/>
  <c r="R231" i="1" s="1"/>
  <c r="L231" i="1"/>
  <c r="M231" i="1" s="1"/>
  <c r="N232" i="1" l="1"/>
  <c r="K232" i="1"/>
  <c r="P232" i="1"/>
  <c r="S232" i="1"/>
  <c r="T232" i="1" l="1"/>
  <c r="I232" i="1"/>
  <c r="C232" i="1"/>
  <c r="D232" i="1" l="1"/>
  <c r="F232" i="1"/>
  <c r="G232" i="1" s="1"/>
  <c r="L232" i="1" l="1"/>
  <c r="M232" i="1" s="1"/>
  <c r="E232" i="1"/>
  <c r="Q232" i="1"/>
  <c r="R232" i="1" s="1"/>
  <c r="N233" i="1" l="1"/>
  <c r="K233" i="1"/>
  <c r="P233" i="1"/>
  <c r="S233" i="1"/>
  <c r="T233" i="1" l="1"/>
  <c r="I233" i="1"/>
  <c r="C233" i="1"/>
  <c r="F233" i="1" l="1"/>
  <c r="G233" i="1" s="1"/>
  <c r="D233" i="1"/>
  <c r="L233" i="1" l="1"/>
  <c r="M233" i="1" s="1"/>
  <c r="Q233" i="1"/>
  <c r="R233" i="1" s="1"/>
  <c r="E233" i="1"/>
  <c r="K234" i="1" l="1"/>
  <c r="N234" i="1"/>
  <c r="S234" i="1"/>
  <c r="P234" i="1"/>
  <c r="T234" i="1" l="1"/>
  <c r="C234" i="1"/>
  <c r="I234" i="1"/>
  <c r="F234" i="1" l="1"/>
  <c r="G234" i="1" s="1"/>
  <c r="D234" i="1"/>
  <c r="Q234" i="1" l="1"/>
  <c r="R234" i="1" s="1"/>
  <c r="L234" i="1"/>
  <c r="M234" i="1" s="1"/>
  <c r="E234" i="1"/>
  <c r="S235" i="1" l="1"/>
  <c r="P235" i="1"/>
  <c r="N235" i="1"/>
  <c r="K235" i="1"/>
  <c r="T235" i="1" l="1"/>
  <c r="C235" i="1"/>
  <c r="I235" i="1"/>
  <c r="D235" i="1" l="1"/>
  <c r="F235" i="1"/>
  <c r="G235" i="1" s="1"/>
  <c r="Q235" i="1" l="1"/>
  <c r="R235" i="1" s="1"/>
  <c r="L235" i="1"/>
  <c r="M235" i="1" s="1"/>
  <c r="E235" i="1"/>
  <c r="P236" i="1" l="1"/>
  <c r="S236" i="1"/>
  <c r="K236" i="1"/>
  <c r="N236" i="1"/>
  <c r="T236" i="1" l="1"/>
  <c r="I236" i="1"/>
  <c r="C236" i="1"/>
  <c r="D236" i="1" l="1"/>
  <c r="F236" i="1"/>
  <c r="G236" i="1" s="1"/>
  <c r="Q236" i="1" l="1"/>
  <c r="R236" i="1" s="1"/>
  <c r="E236" i="1"/>
  <c r="L236" i="1"/>
  <c r="M236" i="1" s="1"/>
  <c r="P237" i="1" l="1"/>
  <c r="S237" i="1"/>
  <c r="N237" i="1"/>
  <c r="K237" i="1"/>
  <c r="T237" i="1" l="1"/>
  <c r="I237" i="1"/>
  <c r="C237" i="1"/>
  <c r="F237" i="1" l="1"/>
  <c r="G237" i="1" s="1"/>
  <c r="D237" i="1"/>
  <c r="L237" i="1" l="1"/>
  <c r="M237" i="1" s="1"/>
  <c r="Q237" i="1"/>
  <c r="R237" i="1" s="1"/>
  <c r="E237" i="1"/>
  <c r="N238" i="1" l="1"/>
  <c r="K238" i="1"/>
  <c r="S238" i="1"/>
  <c r="P238" i="1"/>
  <c r="T238" i="1" l="1"/>
  <c r="I238" i="1"/>
  <c r="C238" i="1"/>
  <c r="F238" i="1" l="1"/>
  <c r="G238" i="1" s="1"/>
  <c r="D238" i="1"/>
  <c r="Q238" i="1" l="1"/>
  <c r="R238" i="1" s="1"/>
  <c r="E238" i="1"/>
  <c r="L238" i="1"/>
  <c r="M238" i="1" s="1"/>
  <c r="P239" i="1" l="1"/>
  <c r="S239" i="1"/>
  <c r="K239" i="1"/>
  <c r="N239" i="1"/>
  <c r="T239" i="1" l="1"/>
  <c r="I239" i="1"/>
  <c r="C239" i="1"/>
  <c r="D239" i="1" l="1"/>
  <c r="F239" i="1"/>
  <c r="G239" i="1" s="1"/>
  <c r="Q239" i="1" l="1"/>
  <c r="R239" i="1" s="1"/>
  <c r="E239" i="1"/>
  <c r="L239" i="1"/>
  <c r="M239" i="1" s="1"/>
  <c r="P240" i="1" l="1"/>
  <c r="S240" i="1"/>
  <c r="N240" i="1"/>
  <c r="K240" i="1"/>
  <c r="T240" i="1" l="1"/>
  <c r="I240" i="1"/>
  <c r="C240" i="1"/>
  <c r="D240" i="1" l="1"/>
  <c r="F240" i="1"/>
  <c r="G240" i="1" s="1"/>
  <c r="L240" i="1" l="1"/>
  <c r="M240" i="1" s="1"/>
  <c r="E240" i="1"/>
  <c r="Q240" i="1"/>
  <c r="R240" i="1" s="1"/>
  <c r="N241" i="1" l="1"/>
  <c r="K241" i="1"/>
  <c r="S241" i="1"/>
  <c r="P241" i="1"/>
  <c r="T241" i="1" l="1"/>
  <c r="I241" i="1"/>
  <c r="C241" i="1"/>
  <c r="F241" i="1" l="1"/>
  <c r="G241" i="1" s="1"/>
  <c r="D241" i="1"/>
  <c r="L241" i="1" l="1"/>
  <c r="M241" i="1" s="1"/>
  <c r="Q241" i="1"/>
  <c r="R241" i="1" s="1"/>
  <c r="E241" i="1"/>
  <c r="K242" i="1" l="1"/>
  <c r="N242" i="1"/>
  <c r="P242" i="1"/>
  <c r="S242" i="1"/>
  <c r="T242" i="1" l="1"/>
  <c r="C242" i="1"/>
  <c r="I242" i="1"/>
  <c r="F242" i="1" l="1"/>
  <c r="G242" i="1" s="1"/>
  <c r="D242" i="1"/>
  <c r="Q242" i="1" l="1"/>
  <c r="R242" i="1" s="1"/>
  <c r="E242" i="1"/>
  <c r="L242" i="1"/>
  <c r="M242" i="1" s="1"/>
  <c r="S243" i="1" l="1"/>
  <c r="P243" i="1"/>
  <c r="K243" i="1"/>
  <c r="N243" i="1"/>
  <c r="T243" i="1" l="1"/>
  <c r="C243" i="1"/>
  <c r="I243" i="1"/>
  <c r="D243" i="1" l="1"/>
  <c r="F243" i="1"/>
  <c r="G243" i="1" s="1"/>
  <c r="Q243" i="1" l="1"/>
  <c r="R243" i="1" s="1"/>
  <c r="L243" i="1"/>
  <c r="M243" i="1" s="1"/>
  <c r="E243" i="1"/>
  <c r="P244" i="1" l="1"/>
  <c r="S244" i="1"/>
  <c r="N244" i="1"/>
  <c r="K244" i="1"/>
  <c r="T244" i="1" l="1"/>
  <c r="I244" i="1"/>
  <c r="C244" i="1"/>
  <c r="D244" i="1" l="1"/>
  <c r="F244" i="1"/>
  <c r="G244" i="1" s="1"/>
  <c r="Q244" i="1" l="1"/>
  <c r="R244" i="1" s="1"/>
  <c r="E244" i="1"/>
  <c r="L244" i="1"/>
  <c r="M244" i="1" s="1"/>
  <c r="S245" i="1" l="1"/>
  <c r="P245" i="1"/>
  <c r="N245" i="1"/>
  <c r="K245" i="1"/>
  <c r="T245" i="1" l="1"/>
  <c r="C245" i="1"/>
  <c r="I245" i="1"/>
  <c r="F245" i="1" l="1"/>
  <c r="G245" i="1" s="1"/>
  <c r="D245" i="1"/>
  <c r="L245" i="1" l="1"/>
  <c r="M245" i="1" s="1"/>
  <c r="Q245" i="1"/>
  <c r="R245" i="1" s="1"/>
  <c r="E245" i="1"/>
  <c r="K246" i="1" l="1"/>
  <c r="N246" i="1"/>
  <c r="P246" i="1"/>
  <c r="S246" i="1"/>
  <c r="T246" i="1" l="1"/>
  <c r="C246" i="1"/>
  <c r="I246" i="1"/>
  <c r="F246" i="1" l="1"/>
  <c r="G246" i="1" s="1"/>
  <c r="D246" i="1"/>
  <c r="Q246" i="1" l="1"/>
  <c r="R246" i="1" s="1"/>
  <c r="L246" i="1"/>
  <c r="M246" i="1" s="1"/>
  <c r="E246" i="1"/>
  <c r="S247" i="1" l="1"/>
  <c r="P247" i="1"/>
  <c r="K247" i="1"/>
  <c r="N247" i="1"/>
  <c r="T247" i="1" l="1"/>
  <c r="C247" i="1"/>
  <c r="I247" i="1"/>
  <c r="D247" i="1" l="1"/>
  <c r="F247" i="1"/>
  <c r="G247" i="1" s="1"/>
  <c r="E247" i="1" l="1"/>
  <c r="Q247" i="1"/>
  <c r="R247" i="1" s="1"/>
  <c r="L247" i="1"/>
  <c r="M247" i="1" s="1"/>
  <c r="N248" i="1" l="1"/>
  <c r="K248" i="1"/>
  <c r="P248" i="1"/>
  <c r="S248" i="1"/>
  <c r="T248" i="1" l="1"/>
  <c r="I248" i="1"/>
  <c r="C248" i="1"/>
  <c r="D248" i="1" l="1"/>
  <c r="F248" i="1"/>
  <c r="G248" i="1" s="1"/>
  <c r="L248" i="1" l="1"/>
  <c r="M248" i="1" s="1"/>
  <c r="E248" i="1"/>
  <c r="Q248" i="1"/>
  <c r="R248" i="1" s="1"/>
  <c r="K249" i="1" l="1"/>
  <c r="N249" i="1"/>
  <c r="S249" i="1"/>
  <c r="P249" i="1"/>
  <c r="T249" i="1" l="1"/>
  <c r="C249" i="1"/>
  <c r="I249" i="1"/>
  <c r="F249" i="1" l="1"/>
  <c r="G249" i="1" s="1"/>
  <c r="D249" i="1"/>
  <c r="L249" i="1" l="1"/>
  <c r="M249" i="1" s="1"/>
  <c r="Q249" i="1"/>
  <c r="R249" i="1" s="1"/>
  <c r="E249" i="1"/>
  <c r="N250" i="1" l="1"/>
  <c r="K250" i="1"/>
  <c r="S250" i="1"/>
  <c r="P250" i="1"/>
  <c r="T250" i="1" l="1"/>
  <c r="I250" i="1"/>
  <c r="C250" i="1"/>
  <c r="F250" i="1" l="1"/>
  <c r="G250" i="1" s="1"/>
  <c r="D250" i="1"/>
  <c r="Q250" i="1" l="1"/>
  <c r="R250" i="1" s="1"/>
  <c r="L250" i="1"/>
  <c r="M250" i="1" s="1"/>
  <c r="E250" i="1"/>
  <c r="P251" i="1" l="1"/>
  <c r="S251" i="1"/>
  <c r="K251" i="1"/>
  <c r="N251" i="1"/>
  <c r="T251" i="1" l="1"/>
  <c r="I251" i="1"/>
  <c r="C251" i="1"/>
  <c r="D251" i="1" l="1"/>
  <c r="F251" i="1"/>
  <c r="G251" i="1" s="1"/>
  <c r="E251" i="1" l="1"/>
  <c r="L251" i="1"/>
  <c r="M251" i="1" s="1"/>
  <c r="Q251" i="1"/>
  <c r="R251" i="1" s="1"/>
  <c r="P252" i="1" l="1"/>
  <c r="S252" i="1"/>
  <c r="N252" i="1"/>
  <c r="K252" i="1"/>
  <c r="T252" i="1" l="1"/>
  <c r="I252" i="1"/>
  <c r="C252" i="1"/>
  <c r="D252" i="1" l="1"/>
  <c r="F252" i="1"/>
  <c r="G252" i="1" s="1"/>
  <c r="L252" i="1" l="1"/>
  <c r="M252" i="1" s="1"/>
  <c r="Q252" i="1"/>
  <c r="R252" i="1" s="1"/>
  <c r="E252" i="1"/>
  <c r="N253" i="1" l="1"/>
  <c r="K253" i="1"/>
  <c r="S253" i="1"/>
  <c r="P253" i="1"/>
  <c r="T253" i="1" l="1"/>
  <c r="I253" i="1"/>
  <c r="C253" i="1"/>
  <c r="F253" i="1" l="1"/>
  <c r="G253" i="1" s="1"/>
  <c r="D253" i="1"/>
  <c r="L253" i="1" l="1"/>
  <c r="M253" i="1" s="1"/>
  <c r="Q253" i="1"/>
  <c r="R253" i="1" s="1"/>
  <c r="E253" i="1"/>
  <c r="K254" i="1" l="1"/>
  <c r="N254" i="1"/>
  <c r="P254" i="1"/>
  <c r="S254" i="1"/>
  <c r="T254" i="1" l="1"/>
  <c r="C254" i="1"/>
  <c r="I254" i="1"/>
  <c r="F254" i="1" l="1"/>
  <c r="G254" i="1" s="1"/>
  <c r="D254" i="1"/>
  <c r="Q254" i="1" l="1"/>
  <c r="R254" i="1" s="1"/>
  <c r="E254" i="1"/>
  <c r="L254" i="1"/>
  <c r="M254" i="1" s="1"/>
  <c r="S255" i="1" l="1"/>
  <c r="P255" i="1"/>
  <c r="K255" i="1"/>
  <c r="N255" i="1"/>
  <c r="T255" i="1" l="1"/>
  <c r="C255" i="1"/>
  <c r="I255" i="1"/>
  <c r="D255" i="1" l="1"/>
  <c r="F255" i="1"/>
  <c r="G255" i="1" s="1"/>
  <c r="L255" i="1" l="1"/>
  <c r="M255" i="1" s="1"/>
  <c r="Q255" i="1"/>
  <c r="R255" i="1" s="1"/>
  <c r="E255" i="1"/>
  <c r="N256" i="1" l="1"/>
  <c r="K256" i="1"/>
  <c r="P256" i="1"/>
  <c r="S256" i="1"/>
  <c r="T256" i="1" l="1"/>
  <c r="I256" i="1"/>
  <c r="C256" i="1"/>
  <c r="D256" i="1" l="1"/>
  <c r="F256" i="1"/>
  <c r="G256" i="1" s="1"/>
  <c r="Q256" i="1" l="1"/>
  <c r="R256" i="1" s="1"/>
  <c r="L256" i="1"/>
  <c r="M256" i="1" s="1"/>
  <c r="E256" i="1"/>
  <c r="S257" i="1" l="1"/>
  <c r="P257" i="1"/>
  <c r="K257" i="1"/>
  <c r="N257" i="1"/>
  <c r="T257" i="1" l="1"/>
  <c r="C257" i="1"/>
  <c r="I257" i="1"/>
  <c r="F257" i="1" l="1"/>
  <c r="G257" i="1" s="1"/>
  <c r="D257" i="1"/>
  <c r="L257" i="1" l="1"/>
  <c r="M257" i="1" s="1"/>
  <c r="E257" i="1"/>
  <c r="Q257" i="1"/>
  <c r="R257" i="1" s="1"/>
  <c r="N258" i="1" l="1"/>
  <c r="K258" i="1"/>
  <c r="P258" i="1"/>
  <c r="S258" i="1"/>
  <c r="T258" i="1" l="1"/>
  <c r="I258" i="1"/>
  <c r="C258" i="1"/>
  <c r="F258" i="1" l="1"/>
  <c r="G258" i="1" s="1"/>
  <c r="D258" i="1"/>
  <c r="Q258" i="1" l="1"/>
  <c r="R258" i="1" s="1"/>
  <c r="E258" i="1"/>
  <c r="L258" i="1"/>
  <c r="M258" i="1" s="1"/>
  <c r="S259" i="1" l="1"/>
  <c r="P259" i="1"/>
  <c r="K259" i="1"/>
  <c r="N259" i="1"/>
  <c r="T259" i="1" l="1"/>
  <c r="C259" i="1"/>
  <c r="I259" i="1"/>
  <c r="D259" i="1" l="1"/>
  <c r="F259" i="1"/>
  <c r="G259" i="1" s="1"/>
  <c r="E259" i="1" l="1"/>
  <c r="L259" i="1"/>
  <c r="M259" i="1" s="1"/>
  <c r="Q259" i="1"/>
  <c r="R259" i="1" s="1"/>
  <c r="P260" i="1" l="1"/>
  <c r="S260" i="1"/>
  <c r="N260" i="1"/>
  <c r="K260" i="1"/>
  <c r="T260" i="1" l="1"/>
  <c r="C260" i="1"/>
  <c r="I260" i="1"/>
  <c r="D260" i="1" l="1"/>
  <c r="F260" i="1"/>
  <c r="G260" i="1" s="1"/>
  <c r="L260" i="1" l="1"/>
  <c r="M260" i="1" s="1"/>
  <c r="Q260" i="1"/>
  <c r="R260" i="1" s="1"/>
  <c r="E260" i="1"/>
  <c r="K261" i="1" l="1"/>
  <c r="N261" i="1"/>
  <c r="P261" i="1"/>
  <c r="S261" i="1"/>
  <c r="T261" i="1" l="1"/>
  <c r="C261" i="1"/>
  <c r="I261" i="1"/>
  <c r="F261" i="1" l="1"/>
  <c r="G261" i="1" s="1"/>
  <c r="D261" i="1"/>
  <c r="Q261" i="1" l="1"/>
  <c r="R261" i="1" s="1"/>
  <c r="L261" i="1"/>
  <c r="M261" i="1" s="1"/>
  <c r="E261" i="1"/>
  <c r="S262" i="1" l="1"/>
  <c r="P262" i="1"/>
  <c r="K262" i="1"/>
  <c r="N262" i="1"/>
  <c r="T262" i="1" l="1"/>
  <c r="C262" i="1"/>
  <c r="I262" i="1"/>
  <c r="F262" i="1" l="1"/>
  <c r="G262" i="1" s="1"/>
  <c r="D262" i="1"/>
  <c r="Q262" i="1" l="1"/>
  <c r="R262" i="1" s="1"/>
  <c r="E262" i="1"/>
  <c r="L262" i="1"/>
  <c r="M262" i="1" s="1"/>
  <c r="S263" i="1" l="1"/>
  <c r="P263" i="1"/>
  <c r="K263" i="1"/>
  <c r="N263" i="1"/>
  <c r="T263" i="1" l="1"/>
  <c r="C263" i="1"/>
  <c r="I263" i="1"/>
  <c r="D263" i="1" l="1"/>
  <c r="F263" i="1"/>
  <c r="G263" i="1" s="1"/>
  <c r="Q263" i="1" l="1"/>
  <c r="R263" i="1" s="1"/>
  <c r="L263" i="1"/>
  <c r="M263" i="1" s="1"/>
  <c r="E263" i="1"/>
  <c r="P264" i="1" l="1"/>
  <c r="S264" i="1"/>
  <c r="N264" i="1"/>
  <c r="K264" i="1"/>
  <c r="T264" i="1" l="1"/>
  <c r="I264" i="1"/>
  <c r="C264" i="1"/>
  <c r="D264" i="1" l="1"/>
  <c r="F264" i="1"/>
  <c r="G264" i="1" s="1"/>
  <c r="Q264" i="1" l="1"/>
  <c r="R264" i="1" s="1"/>
  <c r="E264" i="1"/>
  <c r="L264" i="1"/>
  <c r="M264" i="1" s="1"/>
  <c r="S265" i="1" l="1"/>
  <c r="P265" i="1"/>
  <c r="N265" i="1"/>
  <c r="K265" i="1"/>
  <c r="T265" i="1" l="1"/>
  <c r="C265" i="1"/>
  <c r="I265" i="1"/>
  <c r="F265" i="1" l="1"/>
  <c r="G265" i="1" s="1"/>
  <c r="D265" i="1"/>
  <c r="L265" i="1" l="1"/>
  <c r="M265" i="1" s="1"/>
  <c r="Q265" i="1"/>
  <c r="R265" i="1" s="1"/>
  <c r="E265" i="1"/>
  <c r="K266" i="1" l="1"/>
  <c r="N266" i="1"/>
  <c r="P266" i="1"/>
  <c r="S266" i="1"/>
  <c r="T266" i="1" l="1"/>
  <c r="C266" i="1"/>
  <c r="I266" i="1"/>
  <c r="F266" i="1" l="1"/>
  <c r="G266" i="1" s="1"/>
  <c r="D266" i="1"/>
  <c r="Q266" i="1" l="1"/>
  <c r="R266" i="1" s="1"/>
  <c r="E266" i="1"/>
  <c r="L266" i="1"/>
  <c r="M266" i="1" s="1"/>
  <c r="S267" i="1" l="1"/>
  <c r="P267" i="1"/>
  <c r="K267" i="1"/>
  <c r="N267" i="1"/>
  <c r="T267" i="1" l="1"/>
  <c r="C267" i="1"/>
  <c r="I267" i="1"/>
  <c r="D267" i="1" l="1"/>
  <c r="F267" i="1"/>
  <c r="G267" i="1" s="1"/>
  <c r="Q267" i="1" l="1"/>
  <c r="R267" i="1" s="1"/>
  <c r="L267" i="1"/>
  <c r="M267" i="1" s="1"/>
  <c r="E267" i="1"/>
  <c r="P268" i="1" l="1"/>
  <c r="S268" i="1"/>
  <c r="N268" i="1"/>
  <c r="K268" i="1"/>
  <c r="T268" i="1" l="1"/>
  <c r="I268" i="1"/>
  <c r="C268" i="1"/>
  <c r="D268" i="1" l="1"/>
  <c r="F268" i="1"/>
  <c r="G268" i="1" s="1"/>
  <c r="L268" i="1" l="1"/>
  <c r="M268" i="1" s="1"/>
  <c r="E268" i="1"/>
  <c r="Q268" i="1"/>
  <c r="R268" i="1" s="1"/>
  <c r="N269" i="1" l="1"/>
  <c r="K269" i="1"/>
  <c r="S269" i="1"/>
  <c r="P269" i="1"/>
  <c r="T269" i="1" l="1"/>
  <c r="I269" i="1"/>
  <c r="C269" i="1"/>
  <c r="F269" i="1" l="1"/>
  <c r="G269" i="1" s="1"/>
  <c r="D269" i="1"/>
  <c r="L269" i="1" l="1"/>
  <c r="M269" i="1" s="1"/>
  <c r="Q269" i="1"/>
  <c r="R269" i="1" s="1"/>
  <c r="E269" i="1"/>
  <c r="K270" i="1" l="1"/>
  <c r="N270" i="1"/>
  <c r="P270" i="1"/>
  <c r="S270" i="1"/>
  <c r="T270" i="1" l="1"/>
  <c r="C270" i="1"/>
  <c r="I270" i="1"/>
  <c r="D270" i="1" l="1"/>
  <c r="F270" i="1"/>
  <c r="G270" i="1" s="1"/>
  <c r="Q270" i="1" l="1"/>
  <c r="R270" i="1" s="1"/>
  <c r="L270" i="1"/>
  <c r="M270" i="1" s="1"/>
  <c r="E270" i="1"/>
  <c r="S271" i="1" l="1"/>
  <c r="P271" i="1"/>
  <c r="K271" i="1"/>
  <c r="N271" i="1"/>
  <c r="T271" i="1" l="1"/>
  <c r="C271" i="1"/>
  <c r="I271" i="1"/>
  <c r="D271" i="1" l="1"/>
  <c r="F271" i="1"/>
  <c r="G271" i="1" s="1"/>
  <c r="E271" i="1" l="1"/>
  <c r="L271" i="1"/>
  <c r="M271" i="1" s="1"/>
  <c r="Q271" i="1"/>
  <c r="R271" i="1" s="1"/>
  <c r="P272" i="1" l="1"/>
  <c r="S272" i="1"/>
  <c r="N272" i="1"/>
  <c r="K272" i="1"/>
  <c r="T272" i="1" l="1"/>
  <c r="I272" i="1"/>
  <c r="C272" i="1"/>
  <c r="D272" i="1" l="1"/>
  <c r="F272" i="1"/>
  <c r="G272" i="1" s="1"/>
  <c r="Q272" i="1" l="1"/>
  <c r="R272" i="1" s="1"/>
  <c r="L272" i="1"/>
  <c r="M272" i="1" s="1"/>
  <c r="E272" i="1"/>
  <c r="S273" i="1" l="1"/>
  <c r="P273" i="1"/>
  <c r="N273" i="1"/>
  <c r="K273" i="1"/>
  <c r="T273" i="1" l="1"/>
  <c r="C273" i="1"/>
  <c r="I273" i="1"/>
  <c r="F273" i="1" l="1"/>
  <c r="G273" i="1" s="1"/>
  <c r="D273" i="1"/>
  <c r="L273" i="1" l="1"/>
  <c r="M273" i="1" s="1"/>
  <c r="E273" i="1"/>
  <c r="Q273" i="1"/>
  <c r="R273" i="1" s="1"/>
  <c r="K274" i="1" l="1"/>
  <c r="N274" i="1"/>
  <c r="P274" i="1"/>
  <c r="S274" i="1"/>
  <c r="T274" i="1" l="1"/>
  <c r="C274" i="1"/>
  <c r="I274" i="1"/>
  <c r="D274" i="1" l="1"/>
  <c r="F274" i="1"/>
  <c r="G274" i="1" s="1"/>
  <c r="Q274" i="1" l="1"/>
  <c r="R274" i="1" s="1"/>
  <c r="L274" i="1"/>
  <c r="M274" i="1" s="1"/>
  <c r="E274" i="1"/>
  <c r="S275" i="1" l="1"/>
  <c r="P275" i="1"/>
  <c r="K275" i="1"/>
  <c r="N275" i="1"/>
  <c r="T275" i="1" l="1"/>
  <c r="C275" i="1"/>
  <c r="I275" i="1"/>
  <c r="F275" i="1" l="1"/>
  <c r="G275" i="1" s="1"/>
  <c r="D275" i="1"/>
  <c r="Q275" i="1" l="1"/>
  <c r="R275" i="1" s="1"/>
  <c r="E275" i="1"/>
  <c r="L275" i="1"/>
  <c r="M275" i="1" s="1"/>
  <c r="P276" i="1" l="1"/>
  <c r="S276" i="1"/>
  <c r="N276" i="1"/>
  <c r="K276" i="1"/>
  <c r="T276" i="1" l="1"/>
  <c r="I276" i="1"/>
  <c r="C276" i="1"/>
  <c r="F276" i="1" l="1"/>
  <c r="G276" i="1" s="1"/>
  <c r="D276" i="1"/>
  <c r="L276" i="1" l="1"/>
  <c r="M276" i="1" s="1"/>
  <c r="Q276" i="1"/>
  <c r="R276" i="1" s="1"/>
  <c r="E276" i="1"/>
  <c r="N277" i="1" l="1"/>
  <c r="K277" i="1"/>
  <c r="S277" i="1"/>
  <c r="P277" i="1"/>
  <c r="T277" i="1" l="1"/>
  <c r="I277" i="1"/>
  <c r="C277" i="1"/>
  <c r="F277" i="1" l="1"/>
  <c r="G277" i="1" s="1"/>
  <c r="D277" i="1"/>
  <c r="L277" i="1" l="1"/>
  <c r="M277" i="1" s="1"/>
  <c r="E277" i="1"/>
  <c r="Q277" i="1"/>
  <c r="R277" i="1" s="1"/>
  <c r="K278" i="1" l="1"/>
  <c r="N278" i="1"/>
  <c r="P278" i="1"/>
  <c r="S278" i="1"/>
  <c r="T278" i="1" l="1"/>
  <c r="C278" i="1"/>
  <c r="I278" i="1"/>
  <c r="D278" i="1" l="1"/>
  <c r="F278" i="1"/>
  <c r="G278" i="1" s="1"/>
  <c r="Q278" i="1" l="1"/>
  <c r="R278" i="1" s="1"/>
  <c r="E278" i="1"/>
  <c r="L278" i="1"/>
  <c r="M278" i="1" s="1"/>
  <c r="S279" i="1" l="1"/>
  <c r="P279" i="1"/>
  <c r="K279" i="1"/>
  <c r="N279" i="1"/>
  <c r="T279" i="1" l="1"/>
  <c r="C279" i="1"/>
  <c r="I279" i="1"/>
  <c r="F279" i="1" l="1"/>
  <c r="G279" i="1" s="1"/>
  <c r="D279" i="1"/>
  <c r="L279" i="1" l="1"/>
  <c r="M279" i="1" s="1"/>
  <c r="E279" i="1"/>
  <c r="Q279" i="1"/>
  <c r="R279" i="1" s="1"/>
  <c r="N280" i="1" l="1"/>
  <c r="K280" i="1"/>
  <c r="P280" i="1"/>
  <c r="S280" i="1"/>
  <c r="T280" i="1" l="1"/>
  <c r="I280" i="1"/>
  <c r="C280" i="1"/>
  <c r="F280" i="1" l="1"/>
  <c r="G280" i="1" s="1"/>
  <c r="D280" i="1"/>
  <c r="Q280" i="1" l="1"/>
  <c r="R280" i="1" s="1"/>
  <c r="L280" i="1"/>
  <c r="M280" i="1" s="1"/>
  <c r="E280" i="1"/>
  <c r="S281" i="1" l="1"/>
  <c r="P281" i="1"/>
  <c r="K281" i="1"/>
  <c r="N281" i="1"/>
  <c r="T281" i="1" l="1"/>
  <c r="C281" i="1"/>
  <c r="I281" i="1"/>
  <c r="F281" i="1" l="1"/>
  <c r="G281" i="1" s="1"/>
  <c r="D281" i="1"/>
  <c r="L281" i="1" l="1"/>
  <c r="M281" i="1" s="1"/>
  <c r="E281" i="1"/>
  <c r="Q281" i="1"/>
  <c r="R281" i="1" s="1"/>
  <c r="N282" i="1" l="1"/>
  <c r="K282" i="1"/>
  <c r="P282" i="1"/>
  <c r="S282" i="1"/>
  <c r="T282" i="1" l="1"/>
  <c r="I282" i="1"/>
  <c r="C282" i="1"/>
  <c r="D282" i="1" l="1"/>
  <c r="F282" i="1"/>
  <c r="G282" i="1" s="1"/>
  <c r="Q282" i="1" l="1"/>
  <c r="R282" i="1" s="1"/>
  <c r="E282" i="1"/>
  <c r="L282" i="1"/>
  <c r="M282" i="1" s="1"/>
  <c r="S283" i="1" l="1"/>
  <c r="P283" i="1"/>
  <c r="K283" i="1"/>
  <c r="N283" i="1"/>
  <c r="T283" i="1" l="1"/>
  <c r="C283" i="1"/>
  <c r="I283" i="1"/>
  <c r="F283" i="1" l="1"/>
  <c r="G283" i="1" s="1"/>
  <c r="D283" i="1"/>
  <c r="L283" i="1" l="1"/>
  <c r="M283" i="1" s="1"/>
  <c r="Q283" i="1"/>
  <c r="R283" i="1" s="1"/>
  <c r="E283" i="1"/>
  <c r="N284" i="1" l="1"/>
  <c r="K284" i="1"/>
  <c r="P284" i="1"/>
  <c r="S284" i="1"/>
  <c r="T284" i="1" l="1"/>
  <c r="I284" i="1"/>
  <c r="C284" i="1"/>
  <c r="F284" i="1" l="1"/>
  <c r="G284" i="1" s="1"/>
  <c r="D284" i="1"/>
  <c r="L284" i="1" l="1"/>
  <c r="M284" i="1" s="1"/>
  <c r="Q284" i="1"/>
  <c r="R284" i="1" s="1"/>
  <c r="E284" i="1"/>
  <c r="K285" i="1" l="1"/>
  <c r="N285" i="1"/>
  <c r="S285" i="1"/>
  <c r="P285" i="1"/>
  <c r="T285" i="1" l="1"/>
  <c r="C285" i="1"/>
  <c r="I285" i="1"/>
  <c r="F285" i="1" l="1"/>
  <c r="G285" i="1" s="1"/>
  <c r="D285" i="1"/>
  <c r="L285" i="1" l="1"/>
  <c r="M285" i="1" s="1"/>
  <c r="E285" i="1"/>
  <c r="Q285" i="1"/>
  <c r="R285" i="1" s="1"/>
  <c r="N286" i="1" l="1"/>
  <c r="K286" i="1"/>
  <c r="S286" i="1"/>
  <c r="P286" i="1"/>
  <c r="T286" i="1" l="1"/>
  <c r="I286" i="1"/>
  <c r="C286" i="1"/>
  <c r="D286" i="1" l="1"/>
  <c r="F286" i="1"/>
  <c r="G286" i="1" s="1"/>
  <c r="Q286" i="1" l="1"/>
  <c r="R286" i="1" s="1"/>
  <c r="E286" i="1"/>
  <c r="L286" i="1"/>
  <c r="M286" i="1" s="1"/>
  <c r="P287" i="1" l="1"/>
  <c r="S287" i="1"/>
  <c r="K287" i="1"/>
  <c r="N287" i="1"/>
  <c r="T287" i="1" l="1"/>
  <c r="I287" i="1"/>
  <c r="C287" i="1"/>
  <c r="F287" i="1" l="1"/>
  <c r="G287" i="1" s="1"/>
  <c r="D287" i="1"/>
  <c r="L287" i="1" l="1"/>
  <c r="M287" i="1" s="1"/>
  <c r="E287" i="1"/>
  <c r="Q287" i="1"/>
  <c r="R287" i="1" s="1"/>
  <c r="N288" i="1" l="1"/>
  <c r="K288" i="1"/>
  <c r="P288" i="1"/>
  <c r="S288" i="1"/>
  <c r="T288" i="1" l="1"/>
  <c r="I288" i="1"/>
  <c r="C288" i="1"/>
  <c r="F288" i="1" l="1"/>
  <c r="G288" i="1" s="1"/>
  <c r="D288" i="1"/>
  <c r="Q288" i="1" l="1"/>
  <c r="R288" i="1" s="1"/>
  <c r="L288" i="1"/>
  <c r="M288" i="1" s="1"/>
  <c r="E288" i="1"/>
  <c r="S289" i="1" l="1"/>
  <c r="P289" i="1"/>
  <c r="K289" i="1"/>
  <c r="N289" i="1"/>
  <c r="T289" i="1" l="1"/>
  <c r="C289" i="1"/>
  <c r="I289" i="1"/>
  <c r="D289" i="1" l="1"/>
  <c r="F289" i="1"/>
  <c r="G289" i="1" s="1"/>
  <c r="E289" i="1" l="1"/>
  <c r="L289" i="1"/>
  <c r="M289" i="1" s="1"/>
  <c r="Q289" i="1"/>
  <c r="R289" i="1" s="1"/>
  <c r="S290" i="1" l="1"/>
  <c r="P290" i="1"/>
  <c r="N290" i="1"/>
  <c r="K290" i="1"/>
  <c r="T290" i="1" l="1"/>
  <c r="C290" i="1"/>
  <c r="I290" i="1"/>
  <c r="F290" i="1" l="1"/>
  <c r="G290" i="1" s="1"/>
  <c r="D290" i="1"/>
  <c r="Q290" i="1" l="1"/>
  <c r="R290" i="1" s="1"/>
  <c r="E290" i="1"/>
  <c r="L290" i="1"/>
  <c r="M290" i="1" s="1"/>
  <c r="K291" i="1" l="1"/>
  <c r="N291" i="1"/>
  <c r="P291" i="1"/>
  <c r="S291" i="1"/>
  <c r="T291" i="1" l="1"/>
  <c r="C291" i="1"/>
  <c r="I291" i="1"/>
  <c r="D291" i="1" l="1"/>
  <c r="F291" i="1"/>
  <c r="G291" i="1" s="1"/>
  <c r="Q291" i="1" l="1"/>
  <c r="R291" i="1" s="1"/>
  <c r="L291" i="1"/>
  <c r="M291" i="1" s="1"/>
  <c r="E291" i="1"/>
  <c r="S292" i="1" l="1"/>
  <c r="P292" i="1"/>
  <c r="K292" i="1"/>
  <c r="N292" i="1"/>
  <c r="T292" i="1" l="1"/>
  <c r="C292" i="1"/>
  <c r="I292" i="1"/>
  <c r="F292" i="1" l="1"/>
  <c r="G292" i="1" s="1"/>
  <c r="D292" i="1"/>
  <c r="E292" i="1" l="1"/>
  <c r="Q292" i="1"/>
  <c r="R292" i="1" s="1"/>
  <c r="L292" i="1"/>
  <c r="M292" i="1" s="1"/>
  <c r="N293" i="1" l="1"/>
  <c r="K293" i="1"/>
  <c r="P293" i="1"/>
  <c r="S293" i="1"/>
  <c r="T293" i="1" l="1"/>
  <c r="I293" i="1"/>
  <c r="C293" i="1"/>
  <c r="D293" i="1" l="1"/>
  <c r="F293" i="1"/>
  <c r="G293" i="1" s="1"/>
  <c r="Q293" i="1" l="1"/>
  <c r="R293" i="1" s="1"/>
  <c r="L293" i="1"/>
  <c r="M293" i="1" s="1"/>
  <c r="E293" i="1"/>
  <c r="S294" i="1" l="1"/>
  <c r="P294" i="1"/>
  <c r="K294" i="1"/>
  <c r="N294" i="1"/>
  <c r="T294" i="1" l="1"/>
  <c r="C294" i="1"/>
  <c r="I294" i="1"/>
  <c r="D294" i="1" l="1"/>
  <c r="F294" i="1"/>
  <c r="G294" i="1" s="1"/>
  <c r="Q294" i="1" l="1"/>
  <c r="R294" i="1" s="1"/>
  <c r="E294" i="1"/>
  <c r="L294" i="1"/>
  <c r="M294" i="1" s="1"/>
  <c r="P295" i="1" l="1"/>
  <c r="S295" i="1"/>
  <c r="N295" i="1"/>
  <c r="K295" i="1"/>
  <c r="T295" i="1" l="1"/>
  <c r="I295" i="1"/>
  <c r="C295" i="1"/>
  <c r="F295" i="1" l="1"/>
  <c r="G295" i="1" s="1"/>
  <c r="D295" i="1"/>
  <c r="L295" i="1" l="1"/>
  <c r="M295" i="1" s="1"/>
  <c r="Q295" i="1"/>
  <c r="R295" i="1" s="1"/>
  <c r="E295" i="1"/>
  <c r="S296" i="1" l="1"/>
  <c r="P296" i="1"/>
  <c r="N296" i="1"/>
  <c r="K296" i="1"/>
  <c r="T296" i="1" l="1"/>
  <c r="C296" i="1"/>
  <c r="I296" i="1"/>
  <c r="D296" i="1" l="1"/>
  <c r="F296" i="1"/>
  <c r="G296" i="1" s="1"/>
  <c r="Q296" i="1" l="1"/>
  <c r="R296" i="1" s="1"/>
  <c r="L296" i="1"/>
  <c r="M296" i="1" s="1"/>
  <c r="E296" i="1"/>
  <c r="P297" i="1" l="1"/>
  <c r="S297" i="1"/>
  <c r="K297" i="1"/>
  <c r="N297" i="1"/>
  <c r="T297" i="1" l="1"/>
  <c r="I297" i="1"/>
  <c r="C297" i="1"/>
  <c r="D297" i="1" l="1"/>
  <c r="F297" i="1"/>
  <c r="G297" i="1" s="1"/>
  <c r="Q297" i="1" l="1"/>
  <c r="R297" i="1" s="1"/>
  <c r="E297" i="1"/>
  <c r="L297" i="1"/>
  <c r="M297" i="1" s="1"/>
  <c r="P298" i="1" l="1"/>
  <c r="S298" i="1"/>
  <c r="N298" i="1"/>
  <c r="K298" i="1"/>
  <c r="T298" i="1" l="1"/>
  <c r="I298" i="1"/>
  <c r="C298" i="1"/>
  <c r="D298" i="1" l="1"/>
  <c r="F298" i="1"/>
  <c r="G298" i="1" s="1"/>
  <c r="Q298" i="1" l="1"/>
  <c r="R298" i="1" s="1"/>
  <c r="E298" i="1"/>
  <c r="L298" i="1"/>
  <c r="M298" i="1" s="1"/>
  <c r="S299" i="1" l="1"/>
  <c r="P299" i="1"/>
  <c r="N299" i="1"/>
  <c r="K299" i="1"/>
  <c r="T299" i="1" l="1"/>
  <c r="C299" i="1"/>
  <c r="I299" i="1"/>
  <c r="F299" i="1" l="1"/>
  <c r="G299" i="1" s="1"/>
  <c r="D299" i="1"/>
  <c r="E299" i="1" l="1"/>
  <c r="L299" i="1"/>
  <c r="M299" i="1" s="1"/>
  <c r="Q299" i="1"/>
  <c r="R299" i="1" s="1"/>
  <c r="P300" i="1" l="1"/>
  <c r="S300" i="1"/>
  <c r="K300" i="1"/>
  <c r="N300" i="1"/>
  <c r="T300" i="1" l="1"/>
  <c r="I300" i="1"/>
  <c r="C300" i="1"/>
  <c r="F300" i="1" s="1"/>
  <c r="G300" i="1" s="1"/>
  <c r="D300" i="1" l="1"/>
  <c r="E300" i="1" s="1"/>
  <c r="Q300" i="1" l="1"/>
  <c r="R300" i="1" s="1"/>
  <c r="P301" i="1" s="1"/>
  <c r="L300" i="1"/>
  <c r="M300" i="1" s="1"/>
  <c r="S301" i="1" l="1"/>
  <c r="K301" i="1"/>
  <c r="I301" i="1" s="1"/>
  <c r="N301" i="1"/>
  <c r="T301" i="1" l="1"/>
  <c r="C301" i="1"/>
  <c r="D301" i="1" l="1"/>
  <c r="F301" i="1"/>
  <c r="G301" i="1" s="1"/>
  <c r="L301" i="1" l="1"/>
  <c r="M301" i="1" s="1"/>
  <c r="E301" i="1"/>
  <c r="Q301" i="1"/>
  <c r="R301" i="1" s="1"/>
  <c r="K302" i="1" l="1"/>
  <c r="N302" i="1"/>
  <c r="P302" i="1"/>
  <c r="S302" i="1"/>
  <c r="T302" i="1" l="1"/>
  <c r="C302" i="1"/>
  <c r="I302" i="1"/>
  <c r="D302" i="1" l="1"/>
  <c r="F302" i="1"/>
  <c r="G302" i="1" s="1"/>
  <c r="E302" i="1" l="1"/>
  <c r="L302" i="1"/>
  <c r="M302" i="1" s="1"/>
  <c r="Q302" i="1"/>
  <c r="R302" i="1" s="1"/>
  <c r="S303" i="1" l="1"/>
  <c r="P303" i="1"/>
  <c r="K303" i="1"/>
  <c r="N303" i="1"/>
  <c r="T303" i="1" l="1"/>
  <c r="C303" i="1"/>
  <c r="I303" i="1"/>
  <c r="D303" i="1" l="1"/>
  <c r="F303" i="1"/>
  <c r="G303" i="1" s="1"/>
  <c r="Q303" i="1" l="1"/>
  <c r="R303" i="1" s="1"/>
  <c r="E303" i="1"/>
  <c r="L303" i="1"/>
  <c r="M303" i="1" s="1"/>
  <c r="P304" i="1" l="1"/>
  <c r="S304" i="1"/>
  <c r="N304" i="1"/>
  <c r="K304" i="1"/>
  <c r="T304" i="1" l="1"/>
  <c r="I304" i="1"/>
  <c r="C304" i="1"/>
  <c r="D304" i="1" l="1"/>
  <c r="F304" i="1"/>
  <c r="G304" i="1" s="1"/>
  <c r="Q304" i="1" l="1"/>
  <c r="R304" i="1" s="1"/>
  <c r="E304" i="1"/>
  <c r="L304" i="1"/>
  <c r="M304" i="1" s="1"/>
  <c r="P305" i="1" l="1"/>
  <c r="S305" i="1"/>
  <c r="K305" i="1"/>
  <c r="N305" i="1"/>
  <c r="T305" i="1" l="1"/>
  <c r="I305" i="1"/>
  <c r="C305" i="1"/>
  <c r="F305" i="1" l="1"/>
  <c r="G305" i="1" s="1"/>
  <c r="D305" i="1"/>
  <c r="E305" i="1" l="1"/>
  <c r="Q305" i="1"/>
  <c r="R305" i="1" s="1"/>
  <c r="L305" i="1"/>
  <c r="M305" i="1" s="1"/>
  <c r="N306" i="1" l="1"/>
  <c r="K306" i="1"/>
  <c r="P306" i="1"/>
  <c r="S306" i="1"/>
  <c r="T306" i="1" l="1"/>
  <c r="I306" i="1"/>
  <c r="C306" i="1"/>
  <c r="F306" i="1" l="1"/>
  <c r="G306" i="1" s="1"/>
  <c r="D306" i="1"/>
  <c r="Q306" i="1" l="1"/>
  <c r="R306" i="1" s="1"/>
  <c r="L306" i="1"/>
  <c r="M306" i="1" s="1"/>
  <c r="E306" i="1"/>
  <c r="S307" i="1" l="1"/>
  <c r="P307" i="1"/>
  <c r="K307" i="1"/>
  <c r="N307" i="1"/>
  <c r="T307" i="1" l="1"/>
  <c r="C307" i="1"/>
  <c r="I307" i="1"/>
  <c r="D307" i="1" l="1"/>
  <c r="F307" i="1"/>
  <c r="G307" i="1" s="1"/>
  <c r="L307" i="1" l="1"/>
  <c r="M307" i="1" s="1"/>
  <c r="Q307" i="1"/>
  <c r="R307" i="1" s="1"/>
  <c r="E307" i="1"/>
  <c r="N308" i="1" l="1"/>
  <c r="K308" i="1"/>
  <c r="P308" i="1"/>
  <c r="S308" i="1"/>
  <c r="T308" i="1" l="1"/>
  <c r="I308" i="1"/>
  <c r="C308" i="1"/>
  <c r="D308" i="1" l="1"/>
  <c r="F308" i="1"/>
  <c r="G308" i="1" s="1"/>
  <c r="Q308" i="1" l="1"/>
  <c r="R308" i="1" s="1"/>
  <c r="E308" i="1"/>
  <c r="L308" i="1"/>
  <c r="M308" i="1" s="1"/>
  <c r="S309" i="1" l="1"/>
  <c r="P309" i="1"/>
  <c r="K309" i="1"/>
  <c r="N309" i="1"/>
  <c r="T309" i="1" l="1"/>
  <c r="C309" i="1"/>
  <c r="I309" i="1"/>
  <c r="F309" i="1" l="1"/>
  <c r="G309" i="1" s="1"/>
  <c r="D309" i="1"/>
  <c r="L309" i="1" l="1"/>
  <c r="M309" i="1" s="1"/>
  <c r="E309" i="1"/>
  <c r="Q309" i="1"/>
  <c r="R309" i="1" s="1"/>
  <c r="N310" i="1" l="1"/>
  <c r="K310" i="1"/>
  <c r="P310" i="1"/>
  <c r="S310" i="1"/>
  <c r="T310" i="1" l="1"/>
  <c r="I310" i="1"/>
  <c r="C310" i="1"/>
  <c r="F310" i="1" l="1"/>
  <c r="G310" i="1" s="1"/>
  <c r="D310" i="1"/>
  <c r="L310" i="1" l="1"/>
  <c r="M310" i="1" s="1"/>
  <c r="Q310" i="1"/>
  <c r="R310" i="1" s="1"/>
  <c r="E310" i="1"/>
  <c r="K311" i="1" l="1"/>
  <c r="N311" i="1"/>
  <c r="S311" i="1"/>
  <c r="P311" i="1"/>
  <c r="T311" i="1" l="1"/>
  <c r="C311" i="1"/>
  <c r="I311" i="1"/>
  <c r="D311" i="1" l="1"/>
  <c r="F311" i="1"/>
  <c r="G311" i="1" s="1"/>
  <c r="L311" i="1" l="1"/>
  <c r="M311" i="1" s="1"/>
  <c r="Q311" i="1"/>
  <c r="R311" i="1" s="1"/>
  <c r="E311" i="1"/>
  <c r="K312" i="1" l="1"/>
  <c r="N312" i="1"/>
  <c r="P312" i="1"/>
  <c r="S312" i="1"/>
  <c r="T312" i="1" l="1"/>
  <c r="C312" i="1"/>
  <c r="I312" i="1"/>
  <c r="D312" i="1" l="1"/>
  <c r="F312" i="1"/>
  <c r="G312" i="1" s="1"/>
  <c r="Q312" i="1" l="1"/>
  <c r="R312" i="1" s="1"/>
  <c r="E312" i="1"/>
  <c r="L312" i="1"/>
  <c r="M312" i="1" s="1"/>
  <c r="S313" i="1" l="1"/>
  <c r="P313" i="1"/>
  <c r="K313" i="1"/>
  <c r="N313" i="1"/>
  <c r="T313" i="1" l="1"/>
  <c r="C313" i="1"/>
  <c r="I313" i="1"/>
  <c r="F313" i="1" l="1"/>
  <c r="G313" i="1" s="1"/>
  <c r="D313" i="1"/>
  <c r="E313" i="1" l="1"/>
  <c r="Q313" i="1"/>
  <c r="R313" i="1" s="1"/>
  <c r="L313" i="1"/>
  <c r="M313" i="1" s="1"/>
  <c r="N314" i="1" l="1"/>
  <c r="K314" i="1"/>
  <c r="P314" i="1"/>
  <c r="S314" i="1"/>
  <c r="T314" i="1" l="1"/>
  <c r="I314" i="1"/>
  <c r="C314" i="1"/>
  <c r="F314" i="1" l="1"/>
  <c r="G314" i="1" s="1"/>
  <c r="D314" i="1"/>
  <c r="Q314" i="1" l="1"/>
  <c r="R314" i="1" s="1"/>
  <c r="L314" i="1"/>
  <c r="M314" i="1" s="1"/>
  <c r="E314" i="1"/>
  <c r="S315" i="1" l="1"/>
  <c r="P315" i="1"/>
  <c r="K315" i="1"/>
  <c r="N315" i="1"/>
  <c r="T315" i="1" l="1"/>
  <c r="C315" i="1"/>
  <c r="I315" i="1"/>
  <c r="D315" i="1" l="1"/>
  <c r="F315" i="1"/>
  <c r="G315" i="1" s="1"/>
  <c r="L315" i="1" l="1"/>
  <c r="M315" i="1" s="1"/>
  <c r="Q315" i="1"/>
  <c r="R315" i="1" s="1"/>
  <c r="E315" i="1"/>
  <c r="N316" i="1" l="1"/>
  <c r="K316" i="1"/>
  <c r="P316" i="1"/>
  <c r="S316" i="1"/>
  <c r="T316" i="1" l="1"/>
  <c r="I316" i="1"/>
  <c r="C316" i="1"/>
  <c r="D316" i="1" l="1"/>
  <c r="F316" i="1"/>
  <c r="G316" i="1" s="1"/>
  <c r="Q316" i="1" l="1"/>
  <c r="R316" i="1" s="1"/>
  <c r="E316" i="1"/>
  <c r="L316" i="1"/>
  <c r="M316" i="1" s="1"/>
  <c r="S317" i="1" l="1"/>
  <c r="P317" i="1"/>
  <c r="K317" i="1"/>
  <c r="N317" i="1"/>
  <c r="T317" i="1" l="1"/>
  <c r="C317" i="1"/>
  <c r="I317" i="1"/>
  <c r="F317" i="1" l="1"/>
  <c r="G317" i="1" s="1"/>
  <c r="D317" i="1"/>
  <c r="L317" i="1" l="1"/>
  <c r="M317" i="1" s="1"/>
  <c r="E317" i="1"/>
  <c r="Q317" i="1"/>
  <c r="R317" i="1" s="1"/>
  <c r="N318" i="1" l="1"/>
  <c r="K318" i="1"/>
  <c r="P318" i="1"/>
  <c r="S318" i="1"/>
  <c r="T318" i="1" l="1"/>
  <c r="I318" i="1"/>
  <c r="C318" i="1"/>
  <c r="F318" i="1" l="1"/>
  <c r="G318" i="1" s="1"/>
  <c r="D318" i="1"/>
  <c r="L318" i="1" l="1"/>
  <c r="M318" i="1" s="1"/>
  <c r="Q318" i="1"/>
  <c r="R318" i="1" s="1"/>
  <c r="E318" i="1"/>
  <c r="K319" i="1" l="1"/>
  <c r="N319" i="1"/>
  <c r="S319" i="1"/>
  <c r="P319" i="1"/>
  <c r="T319" i="1" l="1"/>
  <c r="C319" i="1"/>
  <c r="I319" i="1"/>
  <c r="D319" i="1" l="1"/>
  <c r="F319" i="1"/>
  <c r="G319" i="1" s="1"/>
  <c r="L319" i="1" l="1"/>
  <c r="M319" i="1" s="1"/>
  <c r="Q319" i="1"/>
  <c r="R319" i="1" s="1"/>
  <c r="E319" i="1"/>
  <c r="K320" i="1" l="1"/>
  <c r="N320" i="1"/>
  <c r="P320" i="1"/>
  <c r="S320" i="1"/>
  <c r="T320" i="1" l="1"/>
  <c r="C320" i="1"/>
  <c r="I320" i="1"/>
  <c r="D320" i="1" l="1"/>
  <c r="F320" i="1"/>
  <c r="G320" i="1" s="1"/>
  <c r="Q320" i="1" l="1"/>
  <c r="R320" i="1" s="1"/>
  <c r="E320" i="1"/>
  <c r="L320" i="1"/>
  <c r="M320" i="1" s="1"/>
  <c r="S321" i="1" l="1"/>
  <c r="P321" i="1"/>
  <c r="K321" i="1"/>
  <c r="N321" i="1"/>
  <c r="T321" i="1" l="1"/>
  <c r="C321" i="1"/>
  <c r="I321" i="1"/>
  <c r="F321" i="1" l="1"/>
  <c r="G321" i="1" s="1"/>
  <c r="D321" i="1"/>
  <c r="E321" i="1" l="1"/>
  <c r="Q321" i="1"/>
  <c r="R321" i="1" s="1"/>
  <c r="L321" i="1"/>
  <c r="M321" i="1" s="1"/>
  <c r="N322" i="1" l="1"/>
  <c r="K322" i="1"/>
  <c r="P322" i="1"/>
  <c r="S322" i="1"/>
  <c r="T322" i="1" l="1"/>
  <c r="I322" i="1"/>
  <c r="C322" i="1"/>
  <c r="F322" i="1" l="1"/>
  <c r="G322" i="1" s="1"/>
  <c r="D322" i="1"/>
  <c r="Q322" i="1" l="1"/>
  <c r="R322" i="1" s="1"/>
  <c r="L322" i="1"/>
  <c r="M322" i="1" s="1"/>
  <c r="E322" i="1"/>
  <c r="S323" i="1" l="1"/>
  <c r="P323" i="1"/>
  <c r="K323" i="1"/>
  <c r="N323" i="1"/>
  <c r="T323" i="1" l="1"/>
  <c r="C323" i="1"/>
  <c r="I323" i="1"/>
  <c r="D323" i="1" l="1"/>
  <c r="F323" i="1"/>
  <c r="G323" i="1" s="1"/>
  <c r="L323" i="1" l="1"/>
  <c r="M323" i="1" s="1"/>
  <c r="Q323" i="1"/>
  <c r="R323" i="1" s="1"/>
  <c r="E323" i="1"/>
  <c r="N324" i="1" l="1"/>
  <c r="K324" i="1"/>
  <c r="P324" i="1"/>
  <c r="S324" i="1"/>
  <c r="T324" i="1" l="1"/>
  <c r="I324" i="1"/>
  <c r="C324" i="1"/>
  <c r="D324" i="1" l="1"/>
  <c r="F324" i="1"/>
  <c r="G324" i="1" s="1"/>
  <c r="L324" i="1" l="1"/>
  <c r="M324" i="1" s="1"/>
  <c r="Q324" i="1"/>
  <c r="R324" i="1" s="1"/>
  <c r="E324" i="1"/>
  <c r="K325" i="1" l="1"/>
  <c r="N325" i="1"/>
  <c r="S325" i="1"/>
  <c r="P325" i="1"/>
  <c r="T325" i="1" l="1"/>
  <c r="C325" i="1"/>
  <c r="I325" i="1"/>
  <c r="D325" i="1" l="1"/>
  <c r="F325" i="1"/>
  <c r="G325" i="1" s="1"/>
  <c r="Q325" i="1" l="1"/>
  <c r="R325" i="1" s="1"/>
  <c r="E325" i="1"/>
  <c r="L325" i="1"/>
  <c r="M325" i="1" s="1"/>
  <c r="S326" i="1" l="1"/>
  <c r="P326" i="1"/>
  <c r="N326" i="1"/>
  <c r="K326" i="1"/>
  <c r="T326" i="1" l="1"/>
  <c r="C326" i="1"/>
  <c r="I326" i="1"/>
  <c r="F326" i="1" l="1"/>
  <c r="G326" i="1" s="1"/>
  <c r="D326" i="1"/>
  <c r="L326" i="1" l="1"/>
  <c r="M326" i="1" s="1"/>
  <c r="Q326" i="1"/>
  <c r="R326" i="1" s="1"/>
  <c r="E326" i="1"/>
  <c r="K327" i="1" l="1"/>
  <c r="N327" i="1"/>
  <c r="P327" i="1"/>
  <c r="S327" i="1"/>
  <c r="T327" i="1" l="1"/>
  <c r="I327" i="1"/>
  <c r="C327" i="1"/>
  <c r="F327" i="1" l="1"/>
  <c r="G327" i="1" s="1"/>
  <c r="D327" i="1"/>
  <c r="L327" i="1" l="1"/>
  <c r="M327" i="1" s="1"/>
  <c r="Q327" i="1"/>
  <c r="R327" i="1" s="1"/>
  <c r="E327" i="1"/>
  <c r="N328" i="1" l="1"/>
  <c r="K328" i="1"/>
  <c r="P328" i="1"/>
  <c r="S328" i="1"/>
  <c r="T328" i="1" l="1"/>
  <c r="I328" i="1"/>
  <c r="C328" i="1"/>
  <c r="D328" i="1" l="1"/>
  <c r="F328" i="1"/>
  <c r="G328" i="1" s="1"/>
  <c r="L328" i="1" l="1"/>
  <c r="M328" i="1" s="1"/>
  <c r="Q328" i="1"/>
  <c r="R328" i="1" s="1"/>
  <c r="E328" i="1"/>
  <c r="K329" i="1" l="1"/>
  <c r="N329" i="1"/>
  <c r="S329" i="1"/>
  <c r="P329" i="1"/>
  <c r="T329" i="1" l="1"/>
  <c r="C329" i="1"/>
  <c r="I329" i="1"/>
  <c r="D329" i="1" l="1"/>
  <c r="F329" i="1"/>
  <c r="G329" i="1" s="1"/>
  <c r="Q329" i="1" l="1"/>
  <c r="R329" i="1" s="1"/>
  <c r="E329" i="1"/>
  <c r="L329" i="1"/>
  <c r="M329" i="1" s="1"/>
  <c r="P330" i="1" l="1"/>
  <c r="S330" i="1"/>
  <c r="K330" i="1"/>
  <c r="N330" i="1"/>
  <c r="T330" i="1" l="1"/>
  <c r="I330" i="1"/>
  <c r="C330" i="1"/>
  <c r="F330" i="1" l="1"/>
  <c r="G330" i="1" s="1"/>
  <c r="D330" i="1"/>
  <c r="L330" i="1" l="1"/>
  <c r="M330" i="1" s="1"/>
  <c r="Q330" i="1"/>
  <c r="R330" i="1" s="1"/>
  <c r="E330" i="1"/>
  <c r="N331" i="1" l="1"/>
  <c r="K331" i="1"/>
  <c r="P331" i="1"/>
  <c r="S331" i="1"/>
  <c r="T331" i="1" l="1"/>
  <c r="I331" i="1"/>
  <c r="C331" i="1"/>
  <c r="D331" i="1" l="1"/>
  <c r="F331" i="1"/>
  <c r="G331" i="1" s="1"/>
  <c r="L331" i="1" l="1"/>
  <c r="M331" i="1" s="1"/>
  <c r="Q331" i="1"/>
  <c r="R331" i="1" s="1"/>
  <c r="E331" i="1"/>
  <c r="K332" i="1" l="1"/>
  <c r="N332" i="1"/>
  <c r="S332" i="1"/>
  <c r="P332" i="1"/>
  <c r="T332" i="1" l="1"/>
  <c r="C332" i="1"/>
  <c r="I332" i="1"/>
  <c r="D332" i="1" l="1"/>
  <c r="F332" i="1"/>
  <c r="G332" i="1" s="1"/>
  <c r="Q332" i="1" l="1"/>
  <c r="R332" i="1" s="1"/>
  <c r="E332" i="1"/>
  <c r="L332" i="1"/>
  <c r="M332" i="1" s="1"/>
  <c r="P333" i="1" l="1"/>
  <c r="S333" i="1"/>
  <c r="K333" i="1"/>
  <c r="N333" i="1"/>
  <c r="T333" i="1" l="1"/>
  <c r="I333" i="1"/>
  <c r="C333" i="1"/>
  <c r="F333" i="1" l="1"/>
  <c r="G333" i="1" s="1"/>
  <c r="D333" i="1"/>
  <c r="L333" i="1" l="1"/>
  <c r="M333" i="1" s="1"/>
  <c r="E333" i="1"/>
  <c r="Q333" i="1"/>
  <c r="R333" i="1" s="1"/>
  <c r="N334" i="1" l="1"/>
  <c r="K334" i="1"/>
  <c r="P334" i="1"/>
  <c r="S334" i="1"/>
  <c r="T334" i="1" l="1"/>
  <c r="I334" i="1"/>
  <c r="C334" i="1"/>
  <c r="F334" i="1" l="1"/>
  <c r="G334" i="1" s="1"/>
  <c r="D334" i="1"/>
  <c r="L334" i="1" l="1"/>
  <c r="M334" i="1" s="1"/>
  <c r="Q334" i="1"/>
  <c r="R334" i="1" s="1"/>
  <c r="E334" i="1"/>
  <c r="K335" i="1" l="1"/>
  <c r="N335" i="1"/>
  <c r="S335" i="1"/>
  <c r="P335" i="1"/>
  <c r="T335" i="1" l="1"/>
  <c r="C335" i="1"/>
  <c r="I335" i="1"/>
  <c r="F335" i="1" l="1"/>
  <c r="G335" i="1" s="1"/>
  <c r="D335" i="1"/>
  <c r="L335" i="1" l="1"/>
  <c r="M335" i="1" s="1"/>
  <c r="Q335" i="1"/>
  <c r="R335" i="1" s="1"/>
  <c r="E335" i="1"/>
  <c r="K336" i="1" l="1"/>
  <c r="N336" i="1"/>
  <c r="P336" i="1"/>
  <c r="S336" i="1"/>
  <c r="T336" i="1" l="1"/>
  <c r="C336" i="1"/>
  <c r="I336" i="1"/>
  <c r="F336" i="1" l="1"/>
  <c r="G336" i="1" s="1"/>
  <c r="D336" i="1"/>
  <c r="L336" i="1" l="1"/>
  <c r="M336" i="1" s="1"/>
  <c r="Q336" i="1"/>
  <c r="R336" i="1" s="1"/>
  <c r="E336" i="1"/>
  <c r="K337" i="1" l="1"/>
  <c r="N337" i="1"/>
  <c r="S337" i="1"/>
  <c r="P337" i="1"/>
  <c r="T337" i="1" l="1"/>
  <c r="C337" i="1"/>
  <c r="I337" i="1"/>
  <c r="D337" i="1" l="1"/>
  <c r="F337" i="1"/>
  <c r="G337" i="1" s="1"/>
  <c r="L337" i="1" l="1"/>
  <c r="M337" i="1" s="1"/>
  <c r="Q337" i="1"/>
  <c r="R337" i="1" s="1"/>
  <c r="E337" i="1"/>
  <c r="N338" i="1" l="1"/>
  <c r="K338" i="1"/>
  <c r="S338" i="1"/>
  <c r="P338" i="1"/>
  <c r="T338" i="1" l="1"/>
  <c r="I338" i="1"/>
  <c r="C338" i="1"/>
  <c r="D338" i="1" l="1"/>
  <c r="F338" i="1"/>
  <c r="G338" i="1" s="1"/>
  <c r="Q338" i="1" l="1"/>
  <c r="R338" i="1" s="1"/>
  <c r="E338" i="1"/>
  <c r="L338" i="1"/>
  <c r="M338" i="1" s="1"/>
  <c r="P339" i="1" l="1"/>
  <c r="S339" i="1"/>
  <c r="K339" i="1"/>
  <c r="N339" i="1"/>
  <c r="T339" i="1" l="1"/>
  <c r="I339" i="1"/>
  <c r="C339" i="1"/>
  <c r="F339" i="1" l="1"/>
  <c r="G339" i="1" s="1"/>
  <c r="D339" i="1"/>
  <c r="Q339" i="1" l="1"/>
  <c r="R339" i="1" s="1"/>
  <c r="L339" i="1"/>
  <c r="M339" i="1" s="1"/>
  <c r="E339" i="1"/>
  <c r="P340" i="1" l="1"/>
  <c r="S340" i="1"/>
  <c r="N340" i="1"/>
  <c r="K340" i="1"/>
  <c r="T340" i="1" l="1"/>
  <c r="I340" i="1"/>
  <c r="C340" i="1"/>
  <c r="F340" i="1" l="1"/>
  <c r="G340" i="1" s="1"/>
  <c r="D340" i="1"/>
  <c r="L340" i="1" l="1"/>
  <c r="M340" i="1" s="1"/>
  <c r="Q340" i="1"/>
  <c r="R340" i="1" s="1"/>
  <c r="E340" i="1"/>
  <c r="N341" i="1" l="1"/>
  <c r="K341" i="1"/>
  <c r="S341" i="1"/>
  <c r="P341" i="1"/>
  <c r="T341" i="1" l="1"/>
  <c r="I341" i="1"/>
  <c r="C341" i="1"/>
  <c r="D341" i="1" l="1"/>
  <c r="F341" i="1"/>
  <c r="G341" i="1" s="1"/>
  <c r="L341" i="1" l="1"/>
  <c r="M341" i="1" s="1"/>
  <c r="Q341" i="1"/>
  <c r="R341" i="1" s="1"/>
  <c r="E341" i="1"/>
  <c r="K342" i="1" l="1"/>
  <c r="N342" i="1"/>
  <c r="P342" i="1"/>
  <c r="S342" i="1"/>
  <c r="T342" i="1" l="1"/>
  <c r="C342" i="1"/>
  <c r="I342" i="1"/>
  <c r="D342" i="1" l="1"/>
  <c r="F342" i="1"/>
  <c r="G342" i="1" s="1"/>
  <c r="Q342" i="1" l="1"/>
  <c r="R342" i="1" s="1"/>
  <c r="E342" i="1"/>
  <c r="L342" i="1"/>
  <c r="M342" i="1" s="1"/>
  <c r="S343" i="1" l="1"/>
  <c r="P343" i="1"/>
  <c r="K343" i="1"/>
  <c r="N343" i="1"/>
  <c r="T343" i="1" l="1"/>
  <c r="C343" i="1"/>
  <c r="I343" i="1"/>
  <c r="F343" i="1" l="1"/>
  <c r="G343" i="1" s="1"/>
  <c r="D343" i="1"/>
  <c r="L343" i="1" l="1"/>
  <c r="M343" i="1" s="1"/>
  <c r="Q343" i="1"/>
  <c r="R343" i="1" s="1"/>
  <c r="E343" i="1"/>
  <c r="N344" i="1" l="1"/>
  <c r="K344" i="1"/>
  <c r="P344" i="1"/>
  <c r="S344" i="1"/>
  <c r="T344" i="1" l="1"/>
  <c r="I344" i="1"/>
  <c r="C344" i="1"/>
  <c r="F344" i="1" l="1"/>
  <c r="G344" i="1" s="1"/>
  <c r="D344" i="1"/>
  <c r="L344" i="1" l="1"/>
  <c r="M344" i="1" s="1"/>
  <c r="Q344" i="1"/>
  <c r="R344" i="1" s="1"/>
  <c r="E344" i="1"/>
  <c r="K345" i="1" l="1"/>
  <c r="N345" i="1"/>
  <c r="S345" i="1"/>
  <c r="P345" i="1"/>
  <c r="T345" i="1" l="1"/>
  <c r="C345" i="1"/>
  <c r="I345" i="1"/>
  <c r="D345" i="1" l="1"/>
  <c r="F345" i="1"/>
  <c r="G345" i="1" s="1"/>
  <c r="L345" i="1" l="1"/>
  <c r="M345" i="1" s="1"/>
  <c r="Q345" i="1"/>
  <c r="R345" i="1" s="1"/>
  <c r="E345" i="1"/>
  <c r="N346" i="1" l="1"/>
  <c r="K346" i="1"/>
  <c r="S346" i="1"/>
  <c r="P346" i="1"/>
  <c r="T346" i="1" l="1"/>
  <c r="I346" i="1"/>
  <c r="C346" i="1"/>
  <c r="D346" i="1" l="1"/>
  <c r="F346" i="1"/>
  <c r="G346" i="1" s="1"/>
  <c r="Q346" i="1" l="1"/>
  <c r="R346" i="1" s="1"/>
  <c r="E346" i="1"/>
  <c r="L346" i="1"/>
  <c r="M346" i="1" s="1"/>
  <c r="P347" i="1" l="1"/>
  <c r="S347" i="1"/>
  <c r="K347" i="1"/>
  <c r="N347" i="1"/>
  <c r="T347" i="1" l="1"/>
  <c r="I347" i="1"/>
  <c r="C347" i="1"/>
  <c r="F347" i="1" l="1"/>
  <c r="G347" i="1" s="1"/>
  <c r="D347" i="1"/>
  <c r="L347" i="1" l="1"/>
  <c r="M347" i="1" s="1"/>
  <c r="Q347" i="1"/>
  <c r="R347" i="1" s="1"/>
  <c r="E347" i="1"/>
  <c r="N348" i="1" l="1"/>
  <c r="K348" i="1"/>
  <c r="P348" i="1"/>
  <c r="S348" i="1"/>
  <c r="T348" i="1" l="1"/>
  <c r="I348" i="1"/>
  <c r="C348" i="1"/>
  <c r="F348" i="1" l="1"/>
  <c r="G348" i="1" s="1"/>
  <c r="D348" i="1"/>
  <c r="L348" i="1" l="1"/>
  <c r="M348" i="1" s="1"/>
  <c r="Q348" i="1"/>
  <c r="R348" i="1" s="1"/>
  <c r="E348" i="1"/>
  <c r="K349" i="1" l="1"/>
  <c r="N349" i="1"/>
  <c r="S349" i="1"/>
  <c r="P349" i="1"/>
  <c r="T349" i="1" l="1"/>
  <c r="C349" i="1"/>
  <c r="I349" i="1"/>
  <c r="D349" i="1" l="1"/>
  <c r="F349" i="1"/>
  <c r="G349" i="1" s="1"/>
  <c r="L349" i="1" l="1"/>
  <c r="M349" i="1" s="1"/>
  <c r="Q349" i="1"/>
  <c r="R349" i="1" s="1"/>
  <c r="E349" i="1"/>
  <c r="N350" i="1" l="1"/>
  <c r="K350" i="1"/>
  <c r="S350" i="1"/>
  <c r="P350" i="1"/>
  <c r="T350" i="1" l="1"/>
  <c r="I350" i="1"/>
  <c r="C350" i="1"/>
  <c r="D350" i="1" l="1"/>
  <c r="F350" i="1"/>
  <c r="G350" i="1" s="1"/>
  <c r="Q350" i="1" l="1"/>
  <c r="R350" i="1" s="1"/>
  <c r="E350" i="1"/>
  <c r="L350" i="1"/>
  <c r="M350" i="1" s="1"/>
  <c r="P351" i="1" l="1"/>
  <c r="S351" i="1"/>
  <c r="K351" i="1"/>
  <c r="N351" i="1"/>
  <c r="T351" i="1" l="1"/>
  <c r="I351" i="1"/>
  <c r="C351" i="1"/>
  <c r="F351" i="1" l="1"/>
  <c r="G351" i="1" s="1"/>
  <c r="D351" i="1"/>
  <c r="Q351" i="1" l="1"/>
  <c r="R351" i="1" s="1"/>
  <c r="L351" i="1"/>
  <c r="M351" i="1" s="1"/>
  <c r="E351" i="1"/>
  <c r="P352" i="1" l="1"/>
  <c r="S352" i="1"/>
  <c r="N352" i="1"/>
  <c r="K352" i="1"/>
  <c r="T352" i="1" l="1"/>
  <c r="I352" i="1"/>
  <c r="C352" i="1"/>
  <c r="D352" i="1" l="1"/>
  <c r="F352" i="1"/>
  <c r="G352" i="1" s="1"/>
  <c r="L352" i="1" l="1"/>
  <c r="M352" i="1" s="1"/>
  <c r="Q352" i="1"/>
  <c r="R352" i="1" s="1"/>
  <c r="E352" i="1"/>
  <c r="K353" i="1" l="1"/>
  <c r="N353" i="1"/>
  <c r="P353" i="1"/>
  <c r="S353" i="1"/>
  <c r="T353" i="1" l="1"/>
  <c r="C353" i="1"/>
  <c r="I353" i="1"/>
  <c r="D353" i="1" l="1"/>
  <c r="F353" i="1"/>
  <c r="G353" i="1" s="1"/>
  <c r="Q353" i="1" l="1"/>
  <c r="R353" i="1" s="1"/>
  <c r="E353" i="1"/>
  <c r="L353" i="1"/>
  <c r="M353" i="1" s="1"/>
  <c r="S354" i="1" l="1"/>
  <c r="P354" i="1"/>
  <c r="K354" i="1"/>
  <c r="N354" i="1"/>
  <c r="T354" i="1" l="1"/>
  <c r="C354" i="1"/>
  <c r="I354" i="1"/>
  <c r="F354" i="1" l="1"/>
  <c r="G354" i="1" s="1"/>
  <c r="D354" i="1"/>
  <c r="L354" i="1" l="1"/>
  <c r="M354" i="1" s="1"/>
  <c r="Q354" i="1"/>
  <c r="R354" i="1" s="1"/>
  <c r="E354" i="1"/>
  <c r="N355" i="1" l="1"/>
  <c r="K355" i="1"/>
  <c r="P355" i="1"/>
  <c r="S355" i="1"/>
  <c r="T355" i="1" l="1"/>
  <c r="I355" i="1"/>
  <c r="C355" i="1"/>
  <c r="F355" i="1" l="1"/>
  <c r="G355" i="1" s="1"/>
  <c r="D355" i="1"/>
  <c r="L355" i="1" l="1"/>
  <c r="M355" i="1" s="1"/>
  <c r="Q355" i="1"/>
  <c r="R355" i="1" s="1"/>
  <c r="E355" i="1"/>
  <c r="K356" i="1" l="1"/>
  <c r="N356" i="1"/>
  <c r="S356" i="1"/>
  <c r="P356" i="1"/>
  <c r="T356" i="1" l="1"/>
  <c r="C356" i="1"/>
  <c r="I356" i="1"/>
  <c r="D356" i="1" l="1"/>
  <c r="F356" i="1"/>
  <c r="G356" i="1" s="1"/>
  <c r="L356" i="1" l="1"/>
  <c r="M356" i="1" s="1"/>
  <c r="Q356" i="1"/>
  <c r="R356" i="1" s="1"/>
  <c r="E356" i="1"/>
  <c r="K357" i="1" l="1"/>
  <c r="N357" i="1"/>
  <c r="P357" i="1"/>
  <c r="S357" i="1"/>
  <c r="T357" i="1" l="1"/>
  <c r="C357" i="1"/>
  <c r="I357" i="1"/>
  <c r="D357" i="1" l="1"/>
  <c r="F357" i="1"/>
  <c r="G357" i="1" s="1"/>
  <c r="Q357" i="1" l="1"/>
  <c r="R357" i="1" s="1"/>
  <c r="E357" i="1"/>
  <c r="L357" i="1"/>
  <c r="M357" i="1" s="1"/>
  <c r="S358" i="1" l="1"/>
  <c r="P358" i="1"/>
  <c r="K358" i="1"/>
  <c r="N358" i="1"/>
  <c r="T358" i="1" l="1"/>
  <c r="C358" i="1"/>
  <c r="I358" i="1"/>
  <c r="F358" i="1" l="1"/>
  <c r="G358" i="1" s="1"/>
  <c r="D358" i="1"/>
  <c r="L358" i="1" l="1"/>
  <c r="M358" i="1" s="1"/>
  <c r="Q358" i="1"/>
  <c r="R358" i="1" s="1"/>
  <c r="E358" i="1"/>
  <c r="N359" i="1" l="1"/>
  <c r="K359" i="1"/>
  <c r="P359" i="1"/>
  <c r="S359" i="1"/>
  <c r="T359" i="1" l="1"/>
  <c r="I359" i="1"/>
  <c r="C359" i="1"/>
  <c r="F359" i="1" l="1"/>
  <c r="G359" i="1" s="1"/>
  <c r="D359" i="1"/>
  <c r="L359" i="1" l="1"/>
  <c r="M359" i="1" s="1"/>
  <c r="Q359" i="1"/>
  <c r="R359" i="1" s="1"/>
  <c r="E359" i="1"/>
  <c r="K360" i="1" l="1"/>
  <c r="N360" i="1"/>
  <c r="S360" i="1"/>
  <c r="P360" i="1"/>
  <c r="T360" i="1" l="1"/>
  <c r="C360" i="1"/>
  <c r="I360" i="1"/>
  <c r="D360" i="1" l="1"/>
  <c r="F360" i="1"/>
  <c r="G360" i="1" s="1"/>
  <c r="L360" i="1" l="1"/>
  <c r="M360" i="1" s="1"/>
  <c r="Q360" i="1"/>
  <c r="R360" i="1" s="1"/>
  <c r="E360" i="1"/>
  <c r="K361" i="1" l="1"/>
  <c r="N361" i="1"/>
  <c r="P361" i="1"/>
  <c r="S361" i="1"/>
  <c r="T361" i="1" l="1"/>
  <c r="C361" i="1"/>
  <c r="I361" i="1"/>
  <c r="F361" i="1" l="1"/>
  <c r="G361" i="1" s="1"/>
  <c r="D361" i="1"/>
  <c r="L361" i="1" l="1"/>
  <c r="M361" i="1" s="1"/>
  <c r="Q361" i="1"/>
  <c r="R361" i="1" s="1"/>
  <c r="E361" i="1"/>
  <c r="K362" i="1" l="1"/>
  <c r="N362" i="1"/>
  <c r="S362" i="1"/>
  <c r="P362" i="1"/>
  <c r="T362" i="1" l="1"/>
  <c r="C362" i="1"/>
  <c r="I362" i="1"/>
  <c r="F362" i="1" l="1"/>
  <c r="G362" i="1" s="1"/>
  <c r="D362" i="1"/>
  <c r="E362" i="1" l="1"/>
  <c r="L362" i="1"/>
  <c r="M362" i="1" s="1"/>
  <c r="Q362" i="1"/>
  <c r="R362" i="1" s="1"/>
  <c r="S363" i="1" l="1"/>
  <c r="P363" i="1"/>
  <c r="N363" i="1"/>
  <c r="K363" i="1"/>
  <c r="T363" i="1" l="1"/>
  <c r="C363" i="1"/>
  <c r="I363" i="1"/>
  <c r="D363" i="1" l="1"/>
  <c r="F363" i="1"/>
  <c r="G363" i="1" s="1"/>
  <c r="E363" i="1" l="1"/>
  <c r="L363" i="1"/>
  <c r="M363" i="1" s="1"/>
  <c r="Q363" i="1"/>
  <c r="R363" i="1" s="1"/>
  <c r="P364" i="1" l="1"/>
  <c r="S364" i="1"/>
  <c r="K364" i="1"/>
  <c r="N364" i="1"/>
  <c r="T364" i="1" l="1"/>
  <c r="I364" i="1"/>
  <c r="C364" i="1"/>
  <c r="D364" i="1" l="1"/>
  <c r="F364" i="1"/>
  <c r="G364" i="1" s="1"/>
  <c r="L364" i="1" l="1"/>
  <c r="M364" i="1" s="1"/>
  <c r="Q364" i="1"/>
  <c r="R364" i="1" s="1"/>
  <c r="E364" i="1"/>
  <c r="N365" i="1" l="1"/>
  <c r="K365" i="1"/>
  <c r="P365" i="1"/>
  <c r="S365" i="1"/>
  <c r="T365" i="1" l="1"/>
  <c r="I365" i="1"/>
  <c r="C365" i="1"/>
  <c r="D365" i="1" l="1"/>
  <c r="F365" i="1"/>
  <c r="G365" i="1" s="1"/>
  <c r="Q365" i="1" l="1"/>
  <c r="R365" i="1" s="1"/>
  <c r="E365" i="1"/>
  <c r="L365" i="1"/>
  <c r="M365" i="1" s="1"/>
  <c r="S366" i="1" l="1"/>
  <c r="P366" i="1"/>
  <c r="K366" i="1"/>
  <c r="N366" i="1"/>
  <c r="T366" i="1" l="1"/>
  <c r="C366" i="1"/>
  <c r="I366" i="1"/>
  <c r="F366" i="1" l="1"/>
  <c r="G366" i="1" s="1"/>
  <c r="D366" i="1"/>
  <c r="L366" i="1" l="1"/>
  <c r="M366" i="1" s="1"/>
  <c r="Q366" i="1"/>
  <c r="R366" i="1" s="1"/>
  <c r="E366" i="1"/>
  <c r="N367" i="1" l="1"/>
  <c r="K367" i="1"/>
  <c r="P367" i="1"/>
  <c r="S367" i="1"/>
  <c r="T367" i="1" l="1"/>
  <c r="I367" i="1"/>
  <c r="C367" i="1"/>
  <c r="F367" i="1" l="1"/>
  <c r="G367" i="1" s="1"/>
  <c r="D367" i="1"/>
  <c r="L367" i="1" l="1"/>
  <c r="M367" i="1" s="1"/>
  <c r="Q367" i="1"/>
  <c r="R367" i="1" s="1"/>
  <c r="E367" i="1"/>
  <c r="K368" i="1" l="1"/>
  <c r="N368" i="1"/>
  <c r="S368" i="1"/>
  <c r="P368" i="1"/>
  <c r="T368" i="1" l="1"/>
  <c r="C368" i="1"/>
  <c r="I368" i="1"/>
  <c r="D368" i="1" l="1"/>
  <c r="F368" i="1"/>
  <c r="G368" i="1" s="1"/>
  <c r="L368" i="1" l="1"/>
  <c r="M368" i="1" s="1"/>
  <c r="Q368" i="1"/>
  <c r="R368" i="1" s="1"/>
  <c r="E368" i="1"/>
  <c r="N369" i="1" l="1"/>
  <c r="K369" i="1"/>
  <c r="S369" i="1"/>
  <c r="P369" i="1"/>
  <c r="T369" i="1" l="1"/>
  <c r="I369" i="1"/>
  <c r="C369" i="1"/>
  <c r="D369" i="1" l="1"/>
  <c r="F369" i="1"/>
  <c r="G369" i="1" s="1"/>
  <c r="Q369" i="1" l="1"/>
  <c r="R369" i="1" s="1"/>
  <c r="E369" i="1"/>
  <c r="L369" i="1"/>
  <c r="M369" i="1" s="1"/>
  <c r="P370" i="1" l="1"/>
  <c r="S370" i="1"/>
  <c r="K370" i="1"/>
  <c r="N370" i="1"/>
  <c r="T370" i="1" l="1"/>
  <c r="I370" i="1"/>
  <c r="C370" i="1"/>
  <c r="F370" i="1" l="1"/>
  <c r="G370" i="1" s="1"/>
  <c r="D370" i="1"/>
  <c r="L370" i="1" l="1"/>
  <c r="M370" i="1" s="1"/>
  <c r="Q370" i="1"/>
  <c r="R370" i="1" s="1"/>
  <c r="E370" i="1"/>
  <c r="N371" i="1" l="1"/>
  <c r="K371" i="1"/>
  <c r="P371" i="1"/>
  <c r="S371" i="1"/>
  <c r="T371" i="1" l="1"/>
  <c r="I371" i="1"/>
  <c r="C371" i="1"/>
  <c r="F371" i="1" l="1"/>
  <c r="G371" i="1" s="1"/>
  <c r="D371" i="1"/>
  <c r="L371" i="1" l="1"/>
  <c r="M371" i="1" s="1"/>
  <c r="Q371" i="1"/>
  <c r="R371" i="1" s="1"/>
  <c r="E371" i="1"/>
  <c r="K372" i="1" l="1"/>
  <c r="N372" i="1"/>
  <c r="S372" i="1"/>
  <c r="P372" i="1"/>
  <c r="T372" i="1" l="1"/>
  <c r="C372" i="1"/>
  <c r="I372" i="1"/>
  <c r="D372" i="1" l="1"/>
  <c r="F372" i="1"/>
  <c r="G372" i="1" s="1"/>
  <c r="L372" i="1" l="1"/>
  <c r="M372" i="1" s="1"/>
  <c r="Q372" i="1"/>
  <c r="R372" i="1" s="1"/>
  <c r="E372" i="1"/>
  <c r="K373" i="1" l="1"/>
  <c r="N373" i="1"/>
  <c r="P373" i="1"/>
  <c r="S373" i="1"/>
  <c r="T373" i="1" l="1"/>
  <c r="C373" i="1"/>
  <c r="I373" i="1"/>
  <c r="D373" i="1" l="1"/>
  <c r="F373" i="1"/>
  <c r="G373" i="1" s="1"/>
  <c r="Q373" i="1" l="1"/>
  <c r="R373" i="1" s="1"/>
  <c r="E373" i="1"/>
  <c r="L373" i="1"/>
  <c r="M373" i="1" s="1"/>
  <c r="S374" i="1" l="1"/>
  <c r="P374" i="1"/>
  <c r="K374" i="1"/>
  <c r="N374" i="1"/>
  <c r="T374" i="1" l="1"/>
  <c r="C374" i="1"/>
  <c r="I374" i="1"/>
  <c r="F374" i="1" l="1"/>
  <c r="G374" i="1" s="1"/>
  <c r="D374" i="1"/>
  <c r="L374" i="1" l="1"/>
  <c r="M374" i="1" s="1"/>
  <c r="Q374" i="1"/>
  <c r="R374" i="1" s="1"/>
  <c r="E374" i="1"/>
  <c r="N375" i="1" l="1"/>
  <c r="K375" i="1"/>
  <c r="P375" i="1"/>
  <c r="S375" i="1"/>
  <c r="T375" i="1" l="1"/>
  <c r="I375" i="1"/>
  <c r="C375" i="1"/>
  <c r="F375" i="1" l="1"/>
  <c r="G375" i="1" s="1"/>
  <c r="D375" i="1"/>
  <c r="L375" i="1" l="1"/>
  <c r="M375" i="1" s="1"/>
  <c r="Q375" i="1"/>
  <c r="R375" i="1" s="1"/>
  <c r="E375" i="1"/>
  <c r="K376" i="1" l="1"/>
  <c r="N376" i="1"/>
  <c r="S376" i="1"/>
  <c r="P376" i="1"/>
  <c r="T376" i="1" l="1"/>
  <c r="C376" i="1"/>
  <c r="I376" i="1"/>
  <c r="D376" i="1" l="1"/>
  <c r="F376" i="1"/>
  <c r="G376" i="1" s="1"/>
  <c r="L376" i="1" l="1"/>
  <c r="M376" i="1" s="1"/>
  <c r="Q376" i="1"/>
  <c r="R376" i="1" s="1"/>
  <c r="E376" i="1"/>
  <c r="K377" i="1" l="1"/>
  <c r="N377" i="1"/>
  <c r="P377" i="1"/>
  <c r="S377" i="1"/>
  <c r="T377" i="1" l="1"/>
  <c r="C377" i="1"/>
  <c r="I377" i="1"/>
  <c r="D377" i="1" l="1"/>
  <c r="F377" i="1"/>
  <c r="G377" i="1" s="1"/>
  <c r="Q377" i="1" l="1"/>
  <c r="R377" i="1" s="1"/>
  <c r="E377" i="1"/>
  <c r="L377" i="1"/>
  <c r="M377" i="1" s="1"/>
  <c r="S378" i="1" l="1"/>
  <c r="P378" i="1"/>
  <c r="K378" i="1"/>
  <c r="N378" i="1"/>
  <c r="T378" i="1" l="1"/>
  <c r="C378" i="1"/>
  <c r="I378" i="1"/>
  <c r="F378" i="1" l="1"/>
  <c r="G378" i="1" s="1"/>
  <c r="D378" i="1"/>
  <c r="Q378" i="1" l="1"/>
  <c r="R378" i="1" s="1"/>
  <c r="L378" i="1"/>
  <c r="M378" i="1" s="1"/>
  <c r="E378" i="1"/>
  <c r="P379" i="1" l="1"/>
  <c r="S379" i="1"/>
  <c r="N379" i="1"/>
  <c r="K379" i="1"/>
  <c r="T379" i="1" l="1"/>
  <c r="I379" i="1"/>
  <c r="C379" i="1"/>
  <c r="F379" i="1" l="1"/>
  <c r="G379" i="1" s="1"/>
  <c r="D379" i="1"/>
  <c r="L379" i="1" l="1"/>
  <c r="M379" i="1" s="1"/>
  <c r="Q379" i="1"/>
  <c r="R379" i="1" s="1"/>
  <c r="E379" i="1"/>
  <c r="N380" i="1" l="1"/>
  <c r="K380" i="1"/>
  <c r="S380" i="1"/>
  <c r="P380" i="1"/>
  <c r="T380" i="1" l="1"/>
  <c r="I380" i="1"/>
  <c r="C380" i="1"/>
  <c r="D380" i="1" l="1"/>
  <c r="F380" i="1"/>
  <c r="G380" i="1" s="1"/>
  <c r="L380" i="1" l="1"/>
  <c r="M380" i="1" s="1"/>
  <c r="Q380" i="1"/>
  <c r="R380" i="1" s="1"/>
  <c r="E380" i="1"/>
  <c r="K381" i="1" l="1"/>
  <c r="N381" i="1"/>
  <c r="P381" i="1"/>
  <c r="S381" i="1"/>
  <c r="T381" i="1" l="1"/>
  <c r="C381" i="1"/>
  <c r="I381" i="1"/>
  <c r="D381" i="1" l="1"/>
  <c r="F381" i="1"/>
  <c r="G381" i="1" s="1"/>
  <c r="Q381" i="1" l="1"/>
  <c r="R381" i="1" s="1"/>
  <c r="E381" i="1"/>
  <c r="L381" i="1"/>
  <c r="M381" i="1" s="1"/>
  <c r="S382" i="1" l="1"/>
  <c r="P382" i="1"/>
  <c r="K382" i="1"/>
  <c r="N382" i="1"/>
  <c r="T382" i="1" l="1"/>
  <c r="C382" i="1"/>
  <c r="I382" i="1"/>
  <c r="F382" i="1" l="1"/>
  <c r="G382" i="1" s="1"/>
  <c r="D382" i="1"/>
  <c r="L382" i="1" l="1"/>
  <c r="M382" i="1" s="1"/>
  <c r="Q382" i="1"/>
  <c r="R382" i="1" s="1"/>
  <c r="E382" i="1"/>
  <c r="N383" i="1" l="1"/>
  <c r="K383" i="1"/>
  <c r="P383" i="1"/>
  <c r="S383" i="1"/>
  <c r="T383" i="1" l="1"/>
  <c r="I383" i="1"/>
  <c r="C383" i="1"/>
  <c r="F383" i="1" l="1"/>
  <c r="G383" i="1" s="1"/>
  <c r="D383" i="1"/>
  <c r="L383" i="1" l="1"/>
  <c r="M383" i="1" s="1"/>
  <c r="Q383" i="1"/>
  <c r="R383" i="1" s="1"/>
  <c r="E383" i="1"/>
  <c r="K384" i="1" l="1"/>
  <c r="N384" i="1"/>
  <c r="S384" i="1"/>
  <c r="P384" i="1"/>
  <c r="T384" i="1" l="1"/>
  <c r="C384" i="1"/>
  <c r="I384" i="1"/>
  <c r="D384" i="1" l="1"/>
  <c r="F384" i="1"/>
  <c r="G384" i="1" s="1"/>
  <c r="L384" i="1" l="1"/>
  <c r="M384" i="1" s="1"/>
  <c r="Q384" i="1"/>
  <c r="R384" i="1" s="1"/>
  <c r="E384" i="1"/>
  <c r="K385" i="1" l="1"/>
  <c r="N385" i="1"/>
  <c r="P385" i="1"/>
  <c r="S385" i="1"/>
  <c r="T385" i="1" l="1"/>
  <c r="C385" i="1"/>
  <c r="I385" i="1"/>
  <c r="D385" i="1" l="1"/>
  <c r="F385" i="1"/>
  <c r="G385" i="1" s="1"/>
  <c r="Q385" i="1" l="1"/>
  <c r="R385" i="1" s="1"/>
  <c r="E385" i="1"/>
  <c r="L385" i="1"/>
  <c r="M385" i="1" s="1"/>
  <c r="S386" i="1" l="1"/>
  <c r="P386" i="1"/>
  <c r="K386" i="1"/>
  <c r="N386" i="1"/>
  <c r="T386" i="1" l="1"/>
  <c r="C386" i="1"/>
  <c r="I386" i="1"/>
  <c r="F386" i="1" l="1"/>
  <c r="G386" i="1" s="1"/>
  <c r="D386" i="1"/>
  <c r="L386" i="1" l="1"/>
  <c r="M386" i="1" s="1"/>
  <c r="Q386" i="1"/>
  <c r="R386" i="1" s="1"/>
  <c r="E386" i="1"/>
  <c r="N387" i="1" l="1"/>
  <c r="K387" i="1"/>
  <c r="P387" i="1"/>
  <c r="S387" i="1"/>
  <c r="T387" i="1" l="1"/>
  <c r="I387" i="1"/>
  <c r="C387" i="1"/>
  <c r="F387" i="1" l="1"/>
  <c r="G387" i="1" s="1"/>
  <c r="D387" i="1"/>
  <c r="L387" i="1" l="1"/>
  <c r="M387" i="1" s="1"/>
  <c r="Q387" i="1"/>
  <c r="R387" i="1" s="1"/>
  <c r="E387" i="1"/>
  <c r="K388" i="1" l="1"/>
  <c r="N388" i="1"/>
  <c r="S388" i="1"/>
  <c r="P388" i="1"/>
  <c r="T388" i="1" l="1"/>
  <c r="C388" i="1"/>
  <c r="I388" i="1"/>
  <c r="D388" i="1" l="1"/>
  <c r="F388" i="1"/>
  <c r="G388" i="1" s="1"/>
  <c r="L388" i="1" l="1"/>
  <c r="M388" i="1" s="1"/>
  <c r="Q388" i="1"/>
  <c r="R388" i="1" s="1"/>
  <c r="E388" i="1"/>
  <c r="K389" i="1" l="1"/>
  <c r="N389" i="1"/>
  <c r="P389" i="1"/>
  <c r="S389" i="1"/>
  <c r="T389" i="1" l="1"/>
  <c r="C389" i="1"/>
  <c r="I389" i="1"/>
  <c r="D389" i="1" l="1"/>
  <c r="F389" i="1"/>
  <c r="G389" i="1" s="1"/>
  <c r="Q389" i="1" l="1"/>
  <c r="R389" i="1" s="1"/>
  <c r="E389" i="1"/>
  <c r="L389" i="1"/>
  <c r="M389" i="1" s="1"/>
  <c r="S390" i="1" l="1"/>
  <c r="P390" i="1"/>
  <c r="K390" i="1"/>
  <c r="N390" i="1"/>
  <c r="T390" i="1" l="1"/>
  <c r="C390" i="1"/>
  <c r="I390" i="1"/>
  <c r="F390" i="1" l="1"/>
  <c r="G390" i="1" s="1"/>
  <c r="D390" i="1"/>
  <c r="L390" i="1" l="1"/>
  <c r="M390" i="1" s="1"/>
  <c r="Q390" i="1"/>
  <c r="R390" i="1" s="1"/>
  <c r="E390" i="1"/>
  <c r="N391" i="1" l="1"/>
  <c r="K391" i="1"/>
  <c r="P391" i="1"/>
  <c r="S391" i="1"/>
  <c r="T391" i="1" l="1"/>
  <c r="I391" i="1"/>
  <c r="C391" i="1"/>
  <c r="F391" i="1" l="1"/>
  <c r="G391" i="1" s="1"/>
  <c r="D391" i="1"/>
  <c r="L391" i="1" l="1"/>
  <c r="M391" i="1" s="1"/>
  <c r="Q391" i="1"/>
  <c r="R391" i="1" s="1"/>
  <c r="E391" i="1"/>
  <c r="K392" i="1" l="1"/>
  <c r="N392" i="1"/>
  <c r="S392" i="1"/>
  <c r="P392" i="1"/>
  <c r="T392" i="1" l="1"/>
  <c r="C392" i="1"/>
  <c r="I392" i="1"/>
  <c r="D392" i="1" l="1"/>
  <c r="F392" i="1"/>
  <c r="G392" i="1" s="1"/>
  <c r="L392" i="1" l="1"/>
  <c r="M392" i="1" s="1"/>
  <c r="Q392" i="1"/>
  <c r="R392" i="1" s="1"/>
  <c r="E392" i="1"/>
  <c r="K393" i="1" l="1"/>
  <c r="N393" i="1"/>
  <c r="P393" i="1"/>
  <c r="S393" i="1"/>
  <c r="T393" i="1" l="1"/>
  <c r="C393" i="1"/>
  <c r="I393" i="1"/>
  <c r="D393" i="1" l="1"/>
  <c r="F393" i="1"/>
  <c r="G393" i="1" s="1"/>
  <c r="Q393" i="1" l="1"/>
  <c r="R393" i="1" s="1"/>
  <c r="E393" i="1"/>
  <c r="L393" i="1"/>
  <c r="M393" i="1" s="1"/>
  <c r="S394" i="1" l="1"/>
  <c r="P394" i="1"/>
  <c r="K394" i="1"/>
  <c r="N394" i="1"/>
  <c r="T394" i="1" l="1"/>
  <c r="C394" i="1"/>
  <c r="I394" i="1"/>
  <c r="F394" i="1" l="1"/>
  <c r="G394" i="1" s="1"/>
  <c r="D394" i="1"/>
  <c r="L394" i="1" l="1"/>
  <c r="M394" i="1" s="1"/>
  <c r="Q394" i="1"/>
  <c r="R394" i="1" s="1"/>
  <c r="E394" i="1"/>
  <c r="N395" i="1" l="1"/>
  <c r="K395" i="1"/>
  <c r="P395" i="1"/>
  <c r="S395" i="1"/>
  <c r="T395" i="1" l="1"/>
  <c r="I395" i="1"/>
  <c r="C395" i="1"/>
  <c r="F395" i="1" l="1"/>
  <c r="G395" i="1" s="1"/>
  <c r="D395" i="1"/>
  <c r="L395" i="1" l="1"/>
  <c r="M395" i="1" s="1"/>
  <c r="Q395" i="1"/>
  <c r="R395" i="1" s="1"/>
  <c r="E395" i="1"/>
  <c r="K396" i="1" l="1"/>
  <c r="N396" i="1"/>
  <c r="S396" i="1"/>
  <c r="P396" i="1"/>
  <c r="T396" i="1" l="1"/>
  <c r="C396" i="1"/>
  <c r="I396" i="1"/>
  <c r="D396" i="1" l="1"/>
  <c r="F396" i="1"/>
  <c r="G396" i="1" s="1"/>
  <c r="L396" i="1" l="1"/>
  <c r="M396" i="1" s="1"/>
  <c r="Q396" i="1"/>
  <c r="R396" i="1" s="1"/>
  <c r="E396" i="1"/>
  <c r="K397" i="1" l="1"/>
  <c r="N397" i="1"/>
  <c r="P397" i="1"/>
  <c r="S397" i="1"/>
  <c r="T397" i="1" l="1"/>
  <c r="C397" i="1"/>
  <c r="I397" i="1"/>
  <c r="D397" i="1" l="1"/>
  <c r="F397" i="1"/>
  <c r="G397" i="1" s="1"/>
  <c r="Q397" i="1" l="1"/>
  <c r="R397" i="1" s="1"/>
  <c r="E397" i="1"/>
  <c r="L397" i="1"/>
  <c r="M397" i="1" s="1"/>
  <c r="S398" i="1" l="1"/>
  <c r="P398" i="1"/>
  <c r="K398" i="1"/>
  <c r="N398" i="1"/>
  <c r="T398" i="1" l="1"/>
  <c r="C398" i="1"/>
  <c r="I398" i="1"/>
  <c r="F398" i="1" l="1"/>
  <c r="G398" i="1" s="1"/>
  <c r="D398" i="1"/>
  <c r="L398" i="1" l="1"/>
  <c r="M398" i="1" s="1"/>
  <c r="Q398" i="1"/>
  <c r="R398" i="1" s="1"/>
  <c r="E398" i="1"/>
  <c r="N399" i="1" l="1"/>
  <c r="K399" i="1"/>
  <c r="P399" i="1"/>
  <c r="S399" i="1"/>
  <c r="T399" i="1" l="1"/>
  <c r="I399" i="1"/>
  <c r="C399" i="1"/>
  <c r="F399" i="1" l="1"/>
  <c r="G399" i="1" s="1"/>
  <c r="D399" i="1"/>
  <c r="L399" i="1" l="1"/>
  <c r="M399" i="1" s="1"/>
  <c r="Q399" i="1"/>
  <c r="R399" i="1" s="1"/>
  <c r="E399" i="1"/>
  <c r="K400" i="1" l="1"/>
  <c r="N400" i="1"/>
  <c r="S400" i="1"/>
  <c r="P400" i="1"/>
  <c r="T400" i="1" l="1"/>
  <c r="C400" i="1"/>
  <c r="I400" i="1"/>
  <c r="D400" i="1" l="1"/>
  <c r="F400" i="1"/>
  <c r="G400" i="1" s="1"/>
  <c r="L400" i="1" l="1"/>
  <c r="M400" i="1" s="1"/>
  <c r="Q400" i="1"/>
  <c r="R400" i="1" s="1"/>
  <c r="E400" i="1"/>
  <c r="N401" i="1" l="1"/>
  <c r="K401" i="1"/>
  <c r="S401" i="1"/>
  <c r="P401" i="1"/>
  <c r="T401" i="1" l="1"/>
  <c r="I401" i="1"/>
  <c r="C401" i="1"/>
  <c r="D401" i="1" l="1"/>
  <c r="F401" i="1"/>
  <c r="G401" i="1" s="1"/>
  <c r="Q401" i="1" l="1"/>
  <c r="R401" i="1" s="1"/>
  <c r="E401" i="1"/>
  <c r="L401" i="1"/>
  <c r="M401" i="1" s="1"/>
  <c r="P402" i="1" l="1"/>
  <c r="S402" i="1"/>
  <c r="K402" i="1"/>
  <c r="N402" i="1"/>
  <c r="T402" i="1" l="1"/>
  <c r="I402" i="1"/>
  <c r="C402" i="1"/>
  <c r="F402" i="1" l="1"/>
  <c r="G402" i="1" s="1"/>
  <c r="D402" i="1"/>
  <c r="Q402" i="1" l="1"/>
  <c r="R402" i="1" s="1"/>
  <c r="L402" i="1"/>
  <c r="M402" i="1" s="1"/>
  <c r="E402" i="1"/>
  <c r="P403" i="1" l="1"/>
  <c r="S403" i="1"/>
  <c r="N403" i="1"/>
  <c r="K403" i="1"/>
  <c r="T403" i="1" l="1"/>
  <c r="I403" i="1"/>
  <c r="C403" i="1"/>
  <c r="F403" i="1" l="1"/>
  <c r="G403" i="1" s="1"/>
  <c r="D403" i="1"/>
  <c r="L403" i="1" l="1"/>
  <c r="M403" i="1" s="1"/>
  <c r="Q403" i="1"/>
  <c r="R403" i="1" s="1"/>
  <c r="E403" i="1"/>
  <c r="P404" i="1" l="1"/>
  <c r="S404" i="1"/>
  <c r="N404" i="1"/>
  <c r="K404" i="1"/>
  <c r="T404" i="1" l="1"/>
  <c r="C404" i="1"/>
  <c r="I404" i="1"/>
  <c r="D404" i="1" l="1"/>
  <c r="F404" i="1"/>
  <c r="G404" i="1" s="1"/>
  <c r="L404" i="1" l="1"/>
  <c r="M404" i="1" s="1"/>
  <c r="Q404" i="1"/>
  <c r="R404" i="1" s="1"/>
  <c r="E404" i="1"/>
  <c r="P405" i="1" l="1"/>
  <c r="S405" i="1"/>
  <c r="K405" i="1"/>
  <c r="N405" i="1"/>
  <c r="T405" i="1" l="1"/>
  <c r="C405" i="1"/>
  <c r="I405" i="1"/>
  <c r="D405" i="1" l="1"/>
  <c r="F405" i="1"/>
  <c r="G405" i="1" s="1"/>
  <c r="Q405" i="1" l="1"/>
  <c r="R405" i="1" s="1"/>
  <c r="E405" i="1"/>
  <c r="L405" i="1"/>
  <c r="M405" i="1" s="1"/>
  <c r="N406" i="1" l="1"/>
  <c r="K406" i="1"/>
  <c r="P406" i="1"/>
  <c r="S406" i="1"/>
  <c r="T406" i="1" l="1"/>
  <c r="I406" i="1"/>
  <c r="C406" i="1"/>
  <c r="F406" i="1" l="1"/>
  <c r="G406" i="1" s="1"/>
  <c r="D406" i="1"/>
  <c r="L406" i="1" l="1"/>
  <c r="M406" i="1" s="1"/>
  <c r="Q406" i="1"/>
  <c r="R406" i="1" s="1"/>
  <c r="E406" i="1"/>
  <c r="S407" i="1" l="1"/>
  <c r="P407" i="1"/>
  <c r="K407" i="1"/>
  <c r="N407" i="1"/>
  <c r="T407" i="1" l="1"/>
  <c r="C407" i="1"/>
  <c r="I407" i="1"/>
  <c r="F407" i="1" l="1"/>
  <c r="G407" i="1" s="1"/>
  <c r="D407" i="1"/>
  <c r="L407" i="1" l="1"/>
  <c r="M407" i="1" s="1"/>
  <c r="Q407" i="1"/>
  <c r="R407" i="1" s="1"/>
  <c r="E407" i="1"/>
  <c r="P408" i="1" l="1"/>
  <c r="S408" i="1"/>
  <c r="N408" i="1"/>
  <c r="K408" i="1"/>
  <c r="T408" i="1" l="1"/>
  <c r="I408" i="1"/>
  <c r="C408" i="1"/>
  <c r="D408" i="1" l="1"/>
  <c r="F408" i="1"/>
  <c r="G408" i="1" s="1"/>
  <c r="L408" i="1" l="1"/>
  <c r="M408" i="1" s="1"/>
  <c r="Q408" i="1"/>
  <c r="R408" i="1" s="1"/>
  <c r="E408" i="1"/>
  <c r="N409" i="1" l="1"/>
  <c r="K409" i="1"/>
  <c r="S409" i="1"/>
  <c r="P409" i="1"/>
  <c r="T409" i="1" l="1"/>
  <c r="I409" i="1"/>
  <c r="C409" i="1"/>
  <c r="D409" i="1" l="1"/>
  <c r="F409" i="1"/>
  <c r="G409" i="1" s="1"/>
  <c r="Q409" i="1" l="1"/>
  <c r="R409" i="1" s="1"/>
  <c r="E409" i="1"/>
  <c r="L409" i="1"/>
  <c r="M409" i="1" s="1"/>
  <c r="K410" i="1" l="1"/>
  <c r="N410" i="1"/>
  <c r="P410" i="1"/>
  <c r="S410" i="1"/>
  <c r="T410" i="1" l="1"/>
  <c r="C410" i="1"/>
  <c r="I410" i="1"/>
  <c r="F410" i="1" l="1"/>
  <c r="G410" i="1" s="1"/>
  <c r="D410" i="1"/>
  <c r="L410" i="1" l="1"/>
  <c r="M410" i="1" s="1"/>
  <c r="Q410" i="1"/>
  <c r="R410" i="1" s="1"/>
  <c r="E410" i="1"/>
  <c r="K411" i="1" l="1"/>
  <c r="N411" i="1"/>
  <c r="S411" i="1"/>
  <c r="P411" i="1"/>
  <c r="T411" i="1" l="1"/>
  <c r="C411" i="1"/>
  <c r="I411" i="1"/>
  <c r="F411" i="1" l="1"/>
  <c r="G411" i="1" s="1"/>
  <c r="D411" i="1"/>
  <c r="L411" i="1" l="1"/>
  <c r="M411" i="1" s="1"/>
  <c r="Q411" i="1"/>
  <c r="R411" i="1" s="1"/>
  <c r="E411" i="1"/>
  <c r="N412" i="1" l="1"/>
  <c r="K412" i="1"/>
  <c r="S412" i="1"/>
  <c r="P412" i="1"/>
  <c r="T412" i="1" l="1"/>
  <c r="I412" i="1"/>
  <c r="C412" i="1"/>
  <c r="D412" i="1" l="1"/>
  <c r="F412" i="1"/>
  <c r="G412" i="1" s="1"/>
  <c r="L412" i="1" l="1"/>
  <c r="M412" i="1" s="1"/>
  <c r="Q412" i="1"/>
  <c r="R412" i="1" s="1"/>
  <c r="E412" i="1"/>
  <c r="K413" i="1" l="1"/>
  <c r="N413" i="1"/>
  <c r="P413" i="1"/>
  <c r="S413" i="1"/>
  <c r="T413" i="1" l="1"/>
  <c r="C413" i="1"/>
  <c r="I413" i="1"/>
  <c r="D413" i="1" l="1"/>
  <c r="F413" i="1"/>
  <c r="G413" i="1" s="1"/>
  <c r="Q413" i="1" l="1"/>
  <c r="R413" i="1" s="1"/>
  <c r="E413" i="1"/>
  <c r="L413" i="1"/>
  <c r="M413" i="1" s="1"/>
  <c r="S414" i="1" l="1"/>
  <c r="P414" i="1"/>
  <c r="K414" i="1"/>
  <c r="N414" i="1"/>
  <c r="T414" i="1" l="1"/>
  <c r="C414" i="1"/>
  <c r="I414" i="1"/>
  <c r="F414" i="1" l="1"/>
  <c r="G414" i="1" s="1"/>
  <c r="D414" i="1"/>
  <c r="L414" i="1" l="1"/>
  <c r="M414" i="1" s="1"/>
  <c r="Q414" i="1"/>
  <c r="R414" i="1" s="1"/>
  <c r="E414" i="1"/>
  <c r="S415" i="1" l="1"/>
  <c r="P415" i="1"/>
  <c r="N415" i="1"/>
  <c r="K415" i="1"/>
  <c r="T415" i="1" l="1"/>
  <c r="C415" i="1"/>
  <c r="I415" i="1"/>
  <c r="F415" i="1" l="1"/>
  <c r="G415" i="1" s="1"/>
  <c r="D415" i="1"/>
  <c r="L415" i="1" l="1"/>
  <c r="M415" i="1" s="1"/>
  <c r="Q415" i="1"/>
  <c r="R415" i="1" s="1"/>
  <c r="E415" i="1"/>
  <c r="P416" i="1" l="1"/>
  <c r="S416" i="1"/>
  <c r="N416" i="1"/>
  <c r="K416" i="1"/>
  <c r="T416" i="1" l="1"/>
  <c r="C416" i="1"/>
  <c r="I416" i="1"/>
  <c r="D416" i="1" l="1"/>
  <c r="F416" i="1"/>
  <c r="G416" i="1" s="1"/>
  <c r="L416" i="1" l="1"/>
  <c r="M416" i="1" s="1"/>
  <c r="Q416" i="1"/>
  <c r="R416" i="1" s="1"/>
  <c r="E416" i="1"/>
  <c r="P417" i="1" l="1"/>
  <c r="S417" i="1"/>
  <c r="N417" i="1"/>
  <c r="K417" i="1"/>
  <c r="T417" i="1" l="1"/>
  <c r="C417" i="1"/>
  <c r="I417" i="1"/>
  <c r="D417" i="1" l="1"/>
  <c r="F417" i="1"/>
  <c r="G417" i="1" s="1"/>
  <c r="Q417" i="1" l="1"/>
  <c r="R417" i="1" s="1"/>
  <c r="E417" i="1"/>
  <c r="L417" i="1"/>
  <c r="M417" i="1" s="1"/>
  <c r="K418" i="1" l="1"/>
  <c r="N418" i="1"/>
  <c r="P418" i="1"/>
  <c r="S418" i="1"/>
  <c r="T418" i="1" l="1"/>
  <c r="I418" i="1"/>
  <c r="C418" i="1"/>
  <c r="F418" i="1" l="1"/>
  <c r="G418" i="1" s="1"/>
  <c r="D418" i="1"/>
  <c r="Q418" i="1" l="1"/>
  <c r="R418" i="1" s="1"/>
  <c r="L418" i="1"/>
  <c r="M418" i="1" s="1"/>
  <c r="E418" i="1"/>
  <c r="K419" i="1" l="1"/>
  <c r="N419" i="1"/>
  <c r="S419" i="1"/>
  <c r="P419" i="1"/>
  <c r="T419" i="1" l="1"/>
  <c r="I419" i="1"/>
  <c r="C419" i="1"/>
  <c r="F419" i="1" l="1"/>
  <c r="G419" i="1" s="1"/>
  <c r="D419" i="1"/>
  <c r="L419" i="1" l="1"/>
  <c r="M419" i="1" s="1"/>
  <c r="Q419" i="1"/>
  <c r="R419" i="1" s="1"/>
  <c r="E419" i="1"/>
  <c r="P420" i="1" l="1"/>
  <c r="S420" i="1"/>
  <c r="N420" i="1"/>
  <c r="K420" i="1"/>
  <c r="T420" i="1" l="1"/>
  <c r="C420" i="1"/>
  <c r="I420" i="1"/>
  <c r="D420" i="1" l="1"/>
  <c r="F420" i="1"/>
  <c r="G420" i="1" s="1"/>
  <c r="L420" i="1" l="1"/>
  <c r="M420" i="1" s="1"/>
  <c r="Q420" i="1"/>
  <c r="R420" i="1" s="1"/>
  <c r="E420" i="1"/>
  <c r="P421" i="1" l="1"/>
  <c r="S421" i="1"/>
  <c r="K421" i="1"/>
  <c r="N421" i="1"/>
  <c r="T421" i="1" l="1"/>
  <c r="C421" i="1"/>
  <c r="I421" i="1"/>
  <c r="D421" i="1" l="1"/>
  <c r="F421" i="1"/>
  <c r="G421" i="1" s="1"/>
  <c r="Q421" i="1" l="1"/>
  <c r="R421" i="1" s="1"/>
  <c r="E421" i="1"/>
  <c r="L421" i="1"/>
  <c r="M421" i="1" s="1"/>
  <c r="K422" i="1" l="1"/>
  <c r="N422" i="1"/>
  <c r="S422" i="1"/>
  <c r="P422" i="1"/>
  <c r="T422" i="1" l="1"/>
  <c r="C422" i="1"/>
  <c r="I422" i="1"/>
  <c r="F422" i="1" l="1"/>
  <c r="G422" i="1" s="1"/>
  <c r="D422" i="1"/>
  <c r="L422" i="1" l="1"/>
  <c r="M422" i="1" s="1"/>
  <c r="Q422" i="1"/>
  <c r="R422" i="1" s="1"/>
  <c r="E422" i="1"/>
  <c r="N423" i="1" l="1"/>
  <c r="K423" i="1"/>
  <c r="S423" i="1"/>
  <c r="P423" i="1"/>
  <c r="T423" i="1" l="1"/>
  <c r="I423" i="1"/>
  <c r="C423" i="1"/>
  <c r="F423" i="1" l="1"/>
  <c r="G423" i="1" s="1"/>
  <c r="D423" i="1"/>
  <c r="L423" i="1" l="1"/>
  <c r="M423" i="1" s="1"/>
  <c r="Q423" i="1"/>
  <c r="R423" i="1" s="1"/>
  <c r="E423" i="1"/>
  <c r="K424" i="1" l="1"/>
  <c r="N424" i="1"/>
  <c r="P424" i="1"/>
  <c r="S424" i="1"/>
  <c r="T424" i="1" l="1"/>
  <c r="C424" i="1"/>
  <c r="I424" i="1"/>
  <c r="D424" i="1" l="1"/>
  <c r="F424" i="1"/>
  <c r="G424" i="1" s="1"/>
  <c r="L424" i="1" l="1"/>
  <c r="M424" i="1" s="1"/>
  <c r="Q424" i="1"/>
  <c r="R424" i="1" s="1"/>
  <c r="E424" i="1"/>
  <c r="K425" i="1" l="1"/>
  <c r="N425" i="1"/>
  <c r="S425" i="1"/>
  <c r="P425" i="1"/>
  <c r="T425" i="1" l="1"/>
  <c r="C425" i="1"/>
  <c r="I425" i="1"/>
  <c r="D425" i="1" l="1"/>
  <c r="F425" i="1"/>
  <c r="G425" i="1" s="1"/>
  <c r="Q425" i="1" l="1"/>
  <c r="R425" i="1" s="1"/>
  <c r="L425" i="1"/>
  <c r="M425" i="1" s="1"/>
  <c r="E425" i="1"/>
  <c r="P426" i="1" l="1"/>
  <c r="S426" i="1"/>
  <c r="K426" i="1"/>
  <c r="N426" i="1"/>
  <c r="T426" i="1" l="1"/>
  <c r="I426" i="1"/>
  <c r="C426" i="1"/>
  <c r="F426" i="1" l="1"/>
  <c r="G426" i="1" s="1"/>
  <c r="D426" i="1"/>
  <c r="Q426" i="1" l="1"/>
  <c r="R426" i="1" s="1"/>
  <c r="E426" i="1"/>
  <c r="L426" i="1"/>
  <c r="M426" i="1" s="1"/>
  <c r="P427" i="1" l="1"/>
  <c r="S427" i="1"/>
  <c r="N427" i="1"/>
  <c r="K427" i="1"/>
  <c r="T427" i="1" l="1"/>
  <c r="I427" i="1"/>
  <c r="C427" i="1"/>
  <c r="F427" i="1" l="1"/>
  <c r="G427" i="1" s="1"/>
  <c r="D427" i="1"/>
  <c r="Q427" i="1" l="1"/>
  <c r="R427" i="1" s="1"/>
  <c r="L427" i="1"/>
  <c r="M427" i="1" s="1"/>
  <c r="E427" i="1"/>
  <c r="S428" i="1" l="1"/>
  <c r="P428" i="1"/>
  <c r="N428" i="1"/>
  <c r="K428" i="1"/>
  <c r="T428" i="1" l="1"/>
  <c r="C428" i="1"/>
  <c r="I428" i="1"/>
  <c r="F428" i="1" l="1"/>
  <c r="G428" i="1" s="1"/>
  <c r="D428" i="1"/>
  <c r="L428" i="1" l="1"/>
  <c r="M428" i="1" s="1"/>
  <c r="Q428" i="1"/>
  <c r="R428" i="1" s="1"/>
  <c r="E428" i="1"/>
  <c r="K429" i="1" l="1"/>
  <c r="N429" i="1"/>
  <c r="P429" i="1"/>
  <c r="S429" i="1"/>
  <c r="T429" i="1" l="1"/>
  <c r="C429" i="1"/>
  <c r="I429" i="1"/>
  <c r="D429" i="1" l="1"/>
  <c r="F429" i="1"/>
  <c r="G429" i="1" s="1"/>
  <c r="L429" i="1" l="1"/>
  <c r="M429" i="1" s="1"/>
  <c r="Q429" i="1"/>
  <c r="R429" i="1" s="1"/>
  <c r="E429" i="1"/>
  <c r="K430" i="1" l="1"/>
  <c r="N430" i="1"/>
  <c r="S430" i="1"/>
  <c r="P430" i="1"/>
  <c r="T430" i="1" l="1"/>
  <c r="C430" i="1"/>
  <c r="I430" i="1"/>
  <c r="D430" i="1" l="1"/>
  <c r="F430" i="1"/>
  <c r="G430" i="1" s="1"/>
  <c r="Q430" i="1" l="1"/>
  <c r="R430" i="1" s="1"/>
  <c r="E430" i="1"/>
  <c r="L430" i="1"/>
  <c r="M430" i="1" s="1"/>
  <c r="S431" i="1" l="1"/>
  <c r="P431" i="1"/>
  <c r="N431" i="1"/>
  <c r="K431" i="1"/>
  <c r="T431" i="1" l="1"/>
  <c r="C431" i="1"/>
  <c r="I431" i="1"/>
  <c r="F431" i="1" l="1"/>
  <c r="G431" i="1" s="1"/>
  <c r="D431" i="1"/>
  <c r="L431" i="1" l="1"/>
  <c r="M431" i="1" s="1"/>
  <c r="Q431" i="1"/>
  <c r="R431" i="1" s="1"/>
  <c r="E431" i="1"/>
  <c r="K432" i="1" l="1"/>
  <c r="N432" i="1"/>
  <c r="P432" i="1"/>
  <c r="S432" i="1"/>
  <c r="T432" i="1" l="1"/>
  <c r="C432" i="1"/>
  <c r="I432" i="1"/>
  <c r="F432" i="1" l="1"/>
  <c r="G432" i="1" s="1"/>
  <c r="D432" i="1"/>
  <c r="L432" i="1" l="1"/>
  <c r="M432" i="1" s="1"/>
  <c r="Q432" i="1"/>
  <c r="R432" i="1" s="1"/>
  <c r="E432" i="1"/>
  <c r="K433" i="1" l="1"/>
  <c r="N433" i="1"/>
  <c r="S433" i="1"/>
  <c r="P433" i="1"/>
  <c r="T433" i="1" l="1"/>
  <c r="C433" i="1"/>
  <c r="I433" i="1"/>
  <c r="D433" i="1" l="1"/>
  <c r="F433" i="1"/>
  <c r="G433" i="1" s="1"/>
  <c r="L433" i="1" l="1"/>
  <c r="M433" i="1" s="1"/>
  <c r="Q433" i="1"/>
  <c r="R433" i="1" s="1"/>
  <c r="E433" i="1"/>
  <c r="N434" i="1" l="1"/>
  <c r="K434" i="1"/>
  <c r="S434" i="1"/>
  <c r="P434" i="1"/>
  <c r="T434" i="1" l="1"/>
  <c r="I434" i="1"/>
  <c r="C434" i="1"/>
  <c r="D434" i="1" l="1"/>
  <c r="F434" i="1"/>
  <c r="G434" i="1" s="1"/>
  <c r="Q434" i="1" l="1"/>
  <c r="R434" i="1" s="1"/>
  <c r="E434" i="1"/>
  <c r="L434" i="1"/>
  <c r="M434" i="1" s="1"/>
  <c r="P435" i="1" l="1"/>
  <c r="S435" i="1"/>
  <c r="K435" i="1"/>
  <c r="N435" i="1"/>
  <c r="T435" i="1" l="1"/>
  <c r="I435" i="1"/>
  <c r="C435" i="1"/>
  <c r="F435" i="1" l="1"/>
  <c r="G435" i="1" s="1"/>
  <c r="D435" i="1"/>
  <c r="L435" i="1" l="1"/>
  <c r="M435" i="1" s="1"/>
  <c r="Q435" i="1"/>
  <c r="R435" i="1" s="1"/>
  <c r="E435" i="1"/>
  <c r="N436" i="1" l="1"/>
  <c r="K436" i="1"/>
  <c r="P436" i="1"/>
  <c r="S436" i="1"/>
  <c r="T436" i="1" l="1"/>
  <c r="I436" i="1"/>
  <c r="C436" i="1"/>
  <c r="F436" i="1" l="1"/>
  <c r="G436" i="1" s="1"/>
  <c r="D436" i="1"/>
  <c r="L436" i="1" l="1"/>
  <c r="M436" i="1" s="1"/>
  <c r="Q436" i="1"/>
  <c r="R436" i="1" s="1"/>
  <c r="E436" i="1"/>
  <c r="K437" i="1" l="1"/>
  <c r="N437" i="1"/>
  <c r="S437" i="1"/>
  <c r="P437" i="1"/>
  <c r="T437" i="1" l="1"/>
  <c r="C437" i="1"/>
  <c r="I437" i="1"/>
  <c r="D437" i="1" l="1"/>
  <c r="F437" i="1"/>
  <c r="G437" i="1" s="1"/>
  <c r="L437" i="1" l="1"/>
  <c r="M437" i="1" s="1"/>
  <c r="Q437" i="1"/>
  <c r="R437" i="1" s="1"/>
  <c r="E437" i="1"/>
  <c r="N438" i="1" l="1"/>
  <c r="K438" i="1"/>
  <c r="S438" i="1"/>
  <c r="P438" i="1"/>
  <c r="T438" i="1" l="1"/>
  <c r="I438" i="1"/>
  <c r="C438" i="1"/>
  <c r="D438" i="1" l="1"/>
  <c r="F438" i="1"/>
  <c r="G438" i="1" s="1"/>
  <c r="Q438" i="1" l="1"/>
  <c r="R438" i="1" s="1"/>
  <c r="E438" i="1"/>
  <c r="L438" i="1"/>
  <c r="M438" i="1" s="1"/>
  <c r="P439" i="1" l="1"/>
  <c r="S439" i="1"/>
  <c r="K439" i="1"/>
  <c r="N439" i="1"/>
  <c r="T439" i="1" l="1"/>
  <c r="I439" i="1"/>
  <c r="C439" i="1"/>
  <c r="F439" i="1" l="1"/>
  <c r="G439" i="1" s="1"/>
  <c r="D439" i="1"/>
  <c r="L439" i="1" l="1"/>
  <c r="M439" i="1" s="1"/>
  <c r="Q439" i="1"/>
  <c r="R439" i="1" s="1"/>
  <c r="E439" i="1"/>
  <c r="N440" i="1" l="1"/>
  <c r="K440" i="1"/>
  <c r="P440" i="1"/>
  <c r="S440" i="1"/>
  <c r="T440" i="1" l="1"/>
  <c r="I440" i="1"/>
  <c r="C440" i="1"/>
  <c r="F440" i="1" l="1"/>
  <c r="G440" i="1" s="1"/>
  <c r="D440" i="1"/>
  <c r="L440" i="1" l="1"/>
  <c r="M440" i="1" s="1"/>
  <c r="Q440" i="1"/>
  <c r="R440" i="1" s="1"/>
  <c r="E440" i="1"/>
  <c r="K441" i="1" l="1"/>
  <c r="N441" i="1"/>
  <c r="S441" i="1"/>
  <c r="P441" i="1"/>
  <c r="T441" i="1" l="1"/>
  <c r="C441" i="1"/>
  <c r="I441" i="1"/>
  <c r="D441" i="1" l="1"/>
  <c r="F441" i="1"/>
  <c r="G441" i="1" s="1"/>
  <c r="L441" i="1" l="1"/>
  <c r="M441" i="1" s="1"/>
  <c r="Q441" i="1"/>
  <c r="R441" i="1" s="1"/>
  <c r="E441" i="1"/>
  <c r="N442" i="1" l="1"/>
  <c r="K442" i="1"/>
  <c r="S442" i="1"/>
  <c r="P442" i="1"/>
  <c r="T442" i="1" l="1"/>
  <c r="I442" i="1"/>
  <c r="C442" i="1"/>
  <c r="D442" i="1" l="1"/>
  <c r="F442" i="1"/>
  <c r="G442" i="1" s="1"/>
  <c r="Q442" i="1" l="1"/>
  <c r="R442" i="1" s="1"/>
  <c r="E442" i="1"/>
  <c r="L442" i="1"/>
  <c r="M442" i="1" s="1"/>
  <c r="P443" i="1" l="1"/>
  <c r="S443" i="1"/>
  <c r="K443" i="1"/>
  <c r="N443" i="1"/>
  <c r="T443" i="1" l="1"/>
  <c r="I443" i="1"/>
  <c r="C443" i="1"/>
  <c r="F443" i="1" l="1"/>
  <c r="G443" i="1" s="1"/>
  <c r="D443" i="1"/>
  <c r="Q443" i="1" l="1"/>
  <c r="R443" i="1" s="1"/>
  <c r="L443" i="1"/>
  <c r="M443" i="1" s="1"/>
  <c r="E443" i="1"/>
  <c r="P444" i="1" l="1"/>
  <c r="S444" i="1"/>
  <c r="N444" i="1"/>
  <c r="K444" i="1"/>
  <c r="T444" i="1" l="1"/>
  <c r="I444" i="1"/>
  <c r="C444" i="1"/>
  <c r="F444" i="1" l="1"/>
  <c r="G444" i="1" s="1"/>
  <c r="D444" i="1"/>
  <c r="L444" i="1" l="1"/>
  <c r="M444" i="1" s="1"/>
  <c r="Q444" i="1"/>
  <c r="R444" i="1" s="1"/>
  <c r="E444" i="1"/>
  <c r="N445" i="1" l="1"/>
  <c r="K445" i="1"/>
  <c r="S445" i="1"/>
  <c r="P445" i="1"/>
  <c r="T445" i="1" l="1"/>
  <c r="I445" i="1"/>
  <c r="C445" i="1"/>
  <c r="D445" i="1" l="1"/>
  <c r="F445" i="1"/>
  <c r="G445" i="1" s="1"/>
  <c r="L445" i="1" l="1"/>
  <c r="M445" i="1" s="1"/>
  <c r="Q445" i="1"/>
  <c r="R445" i="1" s="1"/>
  <c r="E445" i="1"/>
  <c r="K446" i="1" l="1"/>
  <c r="N446" i="1"/>
  <c r="P446" i="1"/>
  <c r="S446" i="1"/>
  <c r="T446" i="1" l="1"/>
  <c r="C446" i="1"/>
  <c r="I446" i="1"/>
  <c r="D446" i="1" l="1"/>
  <c r="F446" i="1"/>
  <c r="G446" i="1" s="1"/>
  <c r="Q446" i="1" l="1"/>
  <c r="R446" i="1" s="1"/>
  <c r="E446" i="1"/>
  <c r="L446" i="1"/>
  <c r="M446" i="1" s="1"/>
  <c r="S447" i="1" l="1"/>
  <c r="P447" i="1"/>
  <c r="K447" i="1"/>
  <c r="N447" i="1"/>
  <c r="T447" i="1" l="1"/>
  <c r="C447" i="1"/>
  <c r="I447" i="1"/>
  <c r="F447" i="1" l="1"/>
  <c r="G447" i="1" s="1"/>
  <c r="D447" i="1"/>
  <c r="L447" i="1" l="1"/>
  <c r="M447" i="1" s="1"/>
  <c r="Q447" i="1"/>
  <c r="R447" i="1" s="1"/>
  <c r="E447" i="1"/>
  <c r="N448" i="1" l="1"/>
  <c r="K448" i="1"/>
  <c r="P448" i="1"/>
  <c r="S448" i="1"/>
  <c r="T448" i="1" l="1"/>
  <c r="I448" i="1"/>
  <c r="C448" i="1"/>
  <c r="F448" i="1" l="1"/>
  <c r="G448" i="1" s="1"/>
  <c r="D448" i="1"/>
  <c r="L448" i="1" l="1"/>
  <c r="M448" i="1" s="1"/>
  <c r="Q448" i="1"/>
  <c r="R448" i="1" s="1"/>
  <c r="E448" i="1"/>
  <c r="K449" i="1" l="1"/>
  <c r="N449" i="1"/>
  <c r="S449" i="1"/>
  <c r="P449" i="1"/>
  <c r="T449" i="1" l="1"/>
  <c r="C449" i="1"/>
  <c r="I449" i="1"/>
  <c r="D449" i="1" l="1"/>
  <c r="F449" i="1"/>
  <c r="G449" i="1" s="1"/>
  <c r="L449" i="1" l="1"/>
  <c r="M449" i="1" s="1"/>
  <c r="Q449" i="1"/>
  <c r="R449" i="1" s="1"/>
  <c r="E449" i="1"/>
  <c r="K450" i="1" l="1"/>
  <c r="N450" i="1"/>
  <c r="P450" i="1"/>
  <c r="S450" i="1"/>
  <c r="T450" i="1" l="1"/>
  <c r="C450" i="1"/>
  <c r="I450" i="1"/>
  <c r="D450" i="1" l="1"/>
  <c r="F450" i="1"/>
  <c r="G450" i="1" s="1"/>
  <c r="Q450" i="1" l="1"/>
  <c r="R450" i="1" s="1"/>
  <c r="E450" i="1"/>
  <c r="L450" i="1"/>
  <c r="M450" i="1" s="1"/>
  <c r="S451" i="1" l="1"/>
  <c r="P451" i="1"/>
  <c r="K451" i="1"/>
  <c r="N451" i="1"/>
  <c r="T451" i="1" l="1"/>
  <c r="C451" i="1"/>
  <c r="I451" i="1"/>
  <c r="F451" i="1" l="1"/>
  <c r="G451" i="1" s="1"/>
  <c r="D451" i="1"/>
  <c r="L451" i="1" l="1"/>
  <c r="M451" i="1" s="1"/>
  <c r="Q451" i="1"/>
  <c r="R451" i="1" s="1"/>
  <c r="E451" i="1"/>
  <c r="N452" i="1" l="1"/>
  <c r="K452" i="1"/>
  <c r="P452" i="1"/>
  <c r="S452" i="1"/>
  <c r="T452" i="1" l="1"/>
  <c r="I452" i="1"/>
  <c r="C452" i="1"/>
  <c r="F452" i="1" l="1"/>
  <c r="G452" i="1" s="1"/>
  <c r="D452" i="1"/>
  <c r="L452" i="1" l="1"/>
  <c r="M452" i="1" s="1"/>
  <c r="Q452" i="1"/>
  <c r="R452" i="1" s="1"/>
  <c r="E452" i="1"/>
  <c r="K453" i="1" l="1"/>
  <c r="N453" i="1"/>
  <c r="S453" i="1"/>
  <c r="P453" i="1"/>
  <c r="T453" i="1" l="1"/>
  <c r="C453" i="1"/>
  <c r="I453" i="1"/>
  <c r="D453" i="1" l="1"/>
  <c r="F453" i="1"/>
  <c r="G453" i="1" s="1"/>
  <c r="L453" i="1" l="1"/>
  <c r="M453" i="1" s="1"/>
  <c r="Q453" i="1"/>
  <c r="R453" i="1" s="1"/>
  <c r="E453" i="1"/>
  <c r="N454" i="1" l="1"/>
  <c r="K454" i="1"/>
  <c r="S454" i="1"/>
  <c r="P454" i="1"/>
  <c r="T454" i="1" l="1"/>
  <c r="I454" i="1"/>
  <c r="C454" i="1"/>
  <c r="D454" i="1" l="1"/>
  <c r="F454" i="1"/>
  <c r="G454" i="1" s="1"/>
  <c r="Q454" i="1" l="1"/>
  <c r="R454" i="1" s="1"/>
  <c r="E454" i="1"/>
  <c r="L454" i="1"/>
  <c r="M454" i="1" s="1"/>
  <c r="P455" i="1" l="1"/>
  <c r="S455" i="1"/>
  <c r="K455" i="1"/>
  <c r="N455" i="1"/>
  <c r="T455" i="1" l="1"/>
  <c r="I455" i="1"/>
  <c r="C455" i="1"/>
  <c r="F455" i="1" l="1"/>
  <c r="G455" i="1" s="1"/>
  <c r="D455" i="1"/>
  <c r="E455" i="1" l="1"/>
  <c r="Q455" i="1"/>
  <c r="R455" i="1" s="1"/>
  <c r="L455" i="1"/>
  <c r="M455" i="1" s="1"/>
  <c r="N456" i="1" l="1"/>
  <c r="K456" i="1"/>
  <c r="P456" i="1"/>
  <c r="S456" i="1"/>
  <c r="T456" i="1" l="1"/>
  <c r="I456" i="1"/>
  <c r="C456" i="1"/>
  <c r="F456" i="1" l="1"/>
  <c r="G456" i="1" s="1"/>
  <c r="D456" i="1"/>
  <c r="Q456" i="1" l="1"/>
  <c r="R456" i="1" s="1"/>
  <c r="L456" i="1"/>
  <c r="M456" i="1" s="1"/>
  <c r="E456" i="1"/>
  <c r="S457" i="1" l="1"/>
  <c r="P457" i="1"/>
  <c r="K457" i="1"/>
  <c r="N457" i="1"/>
  <c r="T457" i="1" l="1"/>
  <c r="C457" i="1"/>
  <c r="I457" i="1"/>
  <c r="D457" i="1" l="1"/>
  <c r="F457" i="1"/>
  <c r="G457" i="1" s="1"/>
  <c r="L457" i="1" l="1"/>
  <c r="M457" i="1" s="1"/>
  <c r="Q457" i="1"/>
  <c r="R457" i="1" s="1"/>
  <c r="E457" i="1"/>
  <c r="N458" i="1" l="1"/>
  <c r="K458" i="1"/>
  <c r="P458" i="1"/>
  <c r="S458" i="1"/>
  <c r="T458" i="1" l="1"/>
  <c r="I458" i="1"/>
  <c r="C458" i="1"/>
  <c r="D458" i="1" l="1"/>
  <c r="F458" i="1"/>
  <c r="G458" i="1" s="1"/>
  <c r="Q458" i="1" l="1"/>
  <c r="R458" i="1" s="1"/>
  <c r="E458" i="1"/>
  <c r="L458" i="1"/>
  <c r="M458" i="1" s="1"/>
  <c r="S459" i="1" l="1"/>
  <c r="P459" i="1"/>
  <c r="K459" i="1"/>
  <c r="N459" i="1"/>
  <c r="T459" i="1" l="1"/>
  <c r="C459" i="1"/>
  <c r="I459" i="1"/>
  <c r="F459" i="1" l="1"/>
  <c r="G459" i="1" s="1"/>
  <c r="D459" i="1"/>
  <c r="L459" i="1" l="1"/>
  <c r="M459" i="1" s="1"/>
  <c r="E459" i="1"/>
  <c r="Q459" i="1"/>
  <c r="R459" i="1" s="1"/>
  <c r="N460" i="1" l="1"/>
  <c r="K460" i="1"/>
  <c r="P460" i="1"/>
  <c r="S460" i="1"/>
  <c r="T460" i="1" l="1"/>
  <c r="I460" i="1"/>
  <c r="C460" i="1"/>
  <c r="D460" i="1" l="1"/>
  <c r="F460" i="1"/>
  <c r="G460" i="1" s="1"/>
  <c r="L460" i="1" l="1"/>
  <c r="M460" i="1" s="1"/>
  <c r="Q460" i="1"/>
  <c r="R460" i="1" s="1"/>
  <c r="E460" i="1"/>
  <c r="K461" i="1" l="1"/>
  <c r="N461" i="1"/>
  <c r="S461" i="1"/>
  <c r="P461" i="1"/>
  <c r="T461" i="1" l="1"/>
  <c r="C461" i="1"/>
  <c r="I461" i="1"/>
  <c r="D461" i="1" l="1"/>
  <c r="F461" i="1"/>
  <c r="G461" i="1" s="1"/>
  <c r="Q461" i="1" l="1"/>
  <c r="R461" i="1" s="1"/>
  <c r="E461" i="1"/>
  <c r="L461" i="1"/>
  <c r="M461" i="1" s="1"/>
  <c r="S462" i="1" l="1"/>
  <c r="P462" i="1"/>
  <c r="N462" i="1"/>
  <c r="K462" i="1"/>
  <c r="T462" i="1" l="1"/>
  <c r="C462" i="1"/>
  <c r="I462" i="1"/>
  <c r="F462" i="1" l="1"/>
  <c r="G462" i="1" s="1"/>
  <c r="D462" i="1"/>
  <c r="Q462" i="1" l="1"/>
  <c r="R462" i="1" s="1"/>
  <c r="L462" i="1"/>
  <c r="M462" i="1" s="1"/>
  <c r="E462" i="1"/>
  <c r="P463" i="1" l="1"/>
  <c r="S463" i="1"/>
  <c r="K463" i="1"/>
  <c r="N463" i="1"/>
  <c r="T463" i="1" l="1"/>
  <c r="I463" i="1"/>
  <c r="C463" i="1"/>
  <c r="F463" i="1" l="1"/>
  <c r="G463" i="1" s="1"/>
  <c r="D463" i="1"/>
  <c r="L463" i="1" l="1"/>
  <c r="M463" i="1" s="1"/>
  <c r="Q463" i="1"/>
  <c r="R463" i="1" s="1"/>
  <c r="E463" i="1"/>
  <c r="N464" i="1" l="1"/>
  <c r="K464" i="1"/>
  <c r="P464" i="1"/>
  <c r="S464" i="1"/>
  <c r="T464" i="1" l="1"/>
  <c r="I464" i="1"/>
  <c r="C464" i="1"/>
  <c r="D464" i="1" l="1"/>
  <c r="F464" i="1"/>
  <c r="G464" i="1" s="1"/>
  <c r="L464" i="1" l="1"/>
  <c r="M464" i="1" s="1"/>
  <c r="Q464" i="1"/>
  <c r="R464" i="1" s="1"/>
  <c r="E464" i="1"/>
  <c r="K465" i="1" l="1"/>
  <c r="N465" i="1"/>
  <c r="S465" i="1"/>
  <c r="P465" i="1"/>
  <c r="T465" i="1" l="1"/>
  <c r="C465" i="1"/>
  <c r="I465" i="1"/>
  <c r="D465" i="1" l="1"/>
  <c r="F465" i="1"/>
  <c r="G465" i="1" s="1"/>
  <c r="Q465" i="1" l="1"/>
  <c r="R465" i="1" s="1"/>
  <c r="E465" i="1"/>
  <c r="L465" i="1"/>
  <c r="M465" i="1" s="1"/>
  <c r="P466" i="1" l="1"/>
  <c r="S466" i="1"/>
  <c r="K466" i="1"/>
  <c r="N466" i="1"/>
  <c r="T466" i="1" l="1"/>
  <c r="I466" i="1"/>
  <c r="C466" i="1"/>
  <c r="F466" i="1" l="1"/>
  <c r="G466" i="1" s="1"/>
  <c r="D466" i="1"/>
  <c r="L466" i="1" l="1"/>
  <c r="M466" i="1" s="1"/>
  <c r="Q466" i="1"/>
  <c r="R466" i="1" s="1"/>
  <c r="E466" i="1"/>
  <c r="N467" i="1" l="1"/>
  <c r="K467" i="1"/>
  <c r="P467" i="1"/>
  <c r="S467" i="1"/>
  <c r="T467" i="1" l="1"/>
  <c r="I467" i="1"/>
  <c r="C467" i="1"/>
  <c r="F467" i="1" l="1"/>
  <c r="G467" i="1" s="1"/>
  <c r="D467" i="1"/>
  <c r="L467" i="1" l="1"/>
  <c r="M467" i="1" s="1"/>
  <c r="Q467" i="1"/>
  <c r="R467" i="1" s="1"/>
  <c r="E467" i="1"/>
  <c r="K468" i="1" l="1"/>
  <c r="N468" i="1"/>
  <c r="S468" i="1"/>
  <c r="P468" i="1"/>
  <c r="T468" i="1" l="1"/>
  <c r="C468" i="1"/>
  <c r="I468" i="1"/>
  <c r="D468" i="1" l="1"/>
  <c r="F468" i="1"/>
  <c r="G468" i="1" s="1"/>
  <c r="L468" i="1" l="1"/>
  <c r="M468" i="1" s="1"/>
  <c r="Q468" i="1"/>
  <c r="R468" i="1" s="1"/>
  <c r="E468" i="1"/>
  <c r="N469" i="1" l="1"/>
  <c r="K469" i="1"/>
  <c r="S469" i="1"/>
  <c r="P469" i="1"/>
  <c r="T469" i="1" l="1"/>
  <c r="I469" i="1"/>
  <c r="C469" i="1"/>
  <c r="D469" i="1" l="1"/>
  <c r="F469" i="1"/>
  <c r="G469" i="1" s="1"/>
  <c r="Q469" i="1" l="1"/>
  <c r="R469" i="1" s="1"/>
  <c r="E469" i="1"/>
  <c r="L469" i="1"/>
  <c r="M469" i="1" s="1"/>
  <c r="P470" i="1" l="1"/>
  <c r="S470" i="1"/>
  <c r="K470" i="1"/>
  <c r="N470" i="1"/>
  <c r="T470" i="1" l="1"/>
  <c r="I470" i="1"/>
  <c r="C470" i="1"/>
  <c r="F470" i="1" l="1"/>
  <c r="G470" i="1" s="1"/>
  <c r="D470" i="1"/>
  <c r="L470" i="1" l="1"/>
  <c r="M470" i="1" s="1"/>
  <c r="Q470" i="1"/>
  <c r="R470" i="1" s="1"/>
  <c r="E470" i="1"/>
  <c r="N471" i="1" l="1"/>
  <c r="K471" i="1"/>
  <c r="P471" i="1"/>
  <c r="S471" i="1"/>
  <c r="T471" i="1" l="1"/>
  <c r="I471" i="1"/>
  <c r="C471" i="1"/>
  <c r="F471" i="1" l="1"/>
  <c r="G471" i="1" s="1"/>
  <c r="D471" i="1"/>
  <c r="L471" i="1" l="1"/>
  <c r="M471" i="1" s="1"/>
  <c r="Q471" i="1"/>
  <c r="R471" i="1" s="1"/>
  <c r="E471" i="1"/>
  <c r="K472" i="1" l="1"/>
  <c r="N472" i="1"/>
  <c r="S472" i="1"/>
  <c r="P472" i="1"/>
  <c r="T472" i="1" l="1"/>
  <c r="C472" i="1"/>
  <c r="I472" i="1"/>
  <c r="D472" i="1" l="1"/>
  <c r="F472" i="1"/>
  <c r="G472" i="1" s="1"/>
  <c r="L472" i="1" l="1"/>
  <c r="M472" i="1" s="1"/>
  <c r="Q472" i="1"/>
  <c r="R472" i="1" s="1"/>
  <c r="E472" i="1"/>
  <c r="K473" i="1" l="1"/>
  <c r="N473" i="1"/>
  <c r="P473" i="1"/>
  <c r="S473" i="1"/>
  <c r="T473" i="1" l="1"/>
  <c r="C473" i="1"/>
  <c r="I473" i="1"/>
  <c r="D473" i="1" l="1"/>
  <c r="F473" i="1"/>
  <c r="G473" i="1" s="1"/>
  <c r="Q473" i="1" l="1"/>
  <c r="R473" i="1" s="1"/>
  <c r="E473" i="1"/>
  <c r="L473" i="1"/>
  <c r="M473" i="1" s="1"/>
  <c r="S474" i="1" l="1"/>
  <c r="P474" i="1"/>
  <c r="K474" i="1"/>
  <c r="N474" i="1"/>
  <c r="T474" i="1" l="1"/>
  <c r="C474" i="1"/>
  <c r="I474" i="1"/>
  <c r="F474" i="1" l="1"/>
  <c r="G474" i="1" s="1"/>
  <c r="D474" i="1"/>
  <c r="L474" i="1" l="1"/>
  <c r="M474" i="1" s="1"/>
  <c r="Q474" i="1"/>
  <c r="R474" i="1" s="1"/>
  <c r="E474" i="1"/>
  <c r="K475" i="1" l="1"/>
  <c r="N475" i="1"/>
  <c r="S475" i="1"/>
  <c r="P475" i="1"/>
  <c r="T475" i="1" l="1"/>
  <c r="C475" i="1"/>
  <c r="I475" i="1"/>
  <c r="F475" i="1" l="1"/>
  <c r="G475" i="1" s="1"/>
  <c r="D475" i="1"/>
  <c r="L475" i="1" l="1"/>
  <c r="M475" i="1" s="1"/>
  <c r="Q475" i="1"/>
  <c r="R475" i="1" s="1"/>
  <c r="E475" i="1"/>
  <c r="N476" i="1" l="1"/>
  <c r="K476" i="1"/>
  <c r="S476" i="1"/>
  <c r="P476" i="1"/>
  <c r="T476" i="1" l="1"/>
  <c r="I476" i="1"/>
  <c r="C476" i="1"/>
  <c r="D476" i="1" l="1"/>
  <c r="F476" i="1"/>
  <c r="G476" i="1" s="1"/>
  <c r="L476" i="1" l="1"/>
  <c r="M476" i="1" s="1"/>
  <c r="Q476" i="1"/>
  <c r="R476" i="1" s="1"/>
  <c r="E476" i="1"/>
  <c r="K477" i="1" l="1"/>
  <c r="N477" i="1"/>
  <c r="P477" i="1"/>
  <c r="S477" i="1"/>
  <c r="T477" i="1" l="1"/>
  <c r="C477" i="1"/>
  <c r="I477" i="1"/>
  <c r="D477" i="1" l="1"/>
  <c r="F477" i="1"/>
  <c r="G477" i="1" s="1"/>
  <c r="Q477" i="1" l="1"/>
  <c r="R477" i="1" s="1"/>
  <c r="E477" i="1"/>
  <c r="L477" i="1"/>
  <c r="M477" i="1" s="1"/>
  <c r="S478" i="1" l="1"/>
  <c r="P478" i="1"/>
  <c r="K478" i="1"/>
  <c r="N478" i="1"/>
  <c r="T478" i="1" l="1"/>
  <c r="C478" i="1"/>
  <c r="I478" i="1"/>
  <c r="F478" i="1" l="1"/>
  <c r="G478" i="1" s="1"/>
  <c r="D478" i="1"/>
  <c r="Q478" i="1" l="1"/>
  <c r="R478" i="1" s="1"/>
  <c r="L478" i="1"/>
  <c r="M478" i="1" s="1"/>
  <c r="E478" i="1"/>
  <c r="P479" i="1" l="1"/>
  <c r="S479" i="1"/>
  <c r="N479" i="1"/>
  <c r="K479" i="1"/>
  <c r="T479" i="1" l="1"/>
  <c r="I479" i="1"/>
  <c r="C479" i="1"/>
  <c r="F479" i="1" l="1"/>
  <c r="G479" i="1" s="1"/>
  <c r="D479" i="1"/>
  <c r="L479" i="1" l="1"/>
  <c r="M479" i="1" s="1"/>
  <c r="Q479" i="1"/>
  <c r="R479" i="1" s="1"/>
  <c r="E479" i="1"/>
  <c r="K480" i="1" l="1"/>
  <c r="N480" i="1"/>
  <c r="P480" i="1"/>
  <c r="S480" i="1"/>
  <c r="T480" i="1" l="1"/>
  <c r="C480" i="1"/>
  <c r="I480" i="1"/>
  <c r="D480" i="1" l="1"/>
  <c r="F480" i="1"/>
  <c r="G480" i="1" s="1"/>
  <c r="L480" i="1" l="1"/>
  <c r="M480" i="1" s="1"/>
  <c r="Q480" i="1"/>
  <c r="R480" i="1" s="1"/>
  <c r="E480" i="1"/>
  <c r="K481" i="1" l="1"/>
  <c r="N481" i="1"/>
  <c r="S481" i="1"/>
  <c r="P481" i="1"/>
  <c r="T481" i="1" l="1"/>
  <c r="C481" i="1"/>
  <c r="I481" i="1"/>
  <c r="D481" i="1" l="1"/>
  <c r="F481" i="1"/>
  <c r="G481" i="1" s="1"/>
  <c r="Q481" i="1" l="1"/>
  <c r="R481" i="1" s="1"/>
  <c r="E481" i="1"/>
  <c r="L481" i="1"/>
  <c r="M481" i="1" s="1"/>
  <c r="P482" i="1" l="1"/>
  <c r="S482" i="1"/>
  <c r="K482" i="1"/>
  <c r="N482" i="1"/>
  <c r="T482" i="1" l="1"/>
  <c r="I482" i="1"/>
  <c r="C482" i="1"/>
  <c r="F482" i="1" l="1"/>
  <c r="G482" i="1" s="1"/>
  <c r="D482" i="1"/>
  <c r="L482" i="1" l="1"/>
  <c r="M482" i="1" s="1"/>
  <c r="Q482" i="1"/>
  <c r="R482" i="1" s="1"/>
  <c r="E482" i="1"/>
  <c r="N483" i="1" l="1"/>
  <c r="K483" i="1"/>
  <c r="P483" i="1"/>
  <c r="S483" i="1"/>
  <c r="T483" i="1" l="1"/>
  <c r="I483" i="1"/>
  <c r="C483" i="1"/>
  <c r="F483" i="1" l="1"/>
  <c r="G483" i="1" s="1"/>
  <c r="D483" i="1"/>
  <c r="L483" i="1" l="1"/>
  <c r="M483" i="1" s="1"/>
  <c r="Q483" i="1"/>
  <c r="R483" i="1" s="1"/>
  <c r="E483" i="1"/>
  <c r="K484" i="1" l="1"/>
  <c r="N484" i="1"/>
  <c r="S484" i="1"/>
  <c r="P484" i="1"/>
  <c r="T484" i="1" l="1"/>
  <c r="C484" i="1"/>
  <c r="I484" i="1"/>
  <c r="D484" i="1" l="1"/>
  <c r="F484" i="1"/>
  <c r="G484" i="1" s="1"/>
  <c r="L484" i="1" l="1"/>
  <c r="M484" i="1" s="1"/>
  <c r="Q484" i="1"/>
  <c r="R484" i="1" s="1"/>
  <c r="E484" i="1"/>
  <c r="K485" i="1" l="1"/>
  <c r="N485" i="1"/>
  <c r="P485" i="1"/>
  <c r="S485" i="1"/>
  <c r="T485" i="1" l="1"/>
  <c r="C485" i="1"/>
  <c r="I485" i="1"/>
  <c r="D485" i="1" l="1"/>
  <c r="F485" i="1"/>
  <c r="G485" i="1" s="1"/>
  <c r="Q485" i="1" l="1"/>
  <c r="R485" i="1" s="1"/>
  <c r="E485" i="1"/>
  <c r="L485" i="1"/>
  <c r="M485" i="1" s="1"/>
  <c r="S486" i="1" l="1"/>
  <c r="P486" i="1"/>
  <c r="K486" i="1"/>
  <c r="N486" i="1"/>
  <c r="T486" i="1" l="1"/>
  <c r="C486" i="1"/>
  <c r="I486" i="1"/>
  <c r="F486" i="1" l="1"/>
  <c r="G486" i="1" s="1"/>
  <c r="D486" i="1"/>
  <c r="L486" i="1" l="1"/>
  <c r="M486" i="1" s="1"/>
  <c r="Q486" i="1"/>
  <c r="R486" i="1" s="1"/>
  <c r="E486" i="1"/>
  <c r="N487" i="1" l="1"/>
  <c r="K487" i="1"/>
  <c r="P487" i="1"/>
  <c r="S487" i="1"/>
  <c r="T487" i="1" l="1"/>
  <c r="I487" i="1"/>
  <c r="C487" i="1"/>
  <c r="F487" i="1" l="1"/>
  <c r="G487" i="1" s="1"/>
  <c r="D487" i="1"/>
  <c r="L487" i="1" l="1"/>
  <c r="M487" i="1" s="1"/>
  <c r="Q487" i="1"/>
  <c r="R487" i="1" s="1"/>
  <c r="E487" i="1"/>
  <c r="K488" i="1" l="1"/>
  <c r="N488" i="1"/>
  <c r="S488" i="1"/>
  <c r="P488" i="1"/>
  <c r="T488" i="1" l="1"/>
  <c r="C488" i="1"/>
  <c r="I488" i="1"/>
  <c r="D488" i="1" l="1"/>
  <c r="F488" i="1"/>
  <c r="G488" i="1" s="1"/>
  <c r="L488" i="1" l="1"/>
  <c r="M488" i="1" s="1"/>
  <c r="Q488" i="1"/>
  <c r="R488" i="1" s="1"/>
  <c r="E488" i="1"/>
  <c r="K489" i="1" l="1"/>
  <c r="N489" i="1"/>
  <c r="P489" i="1"/>
  <c r="S489" i="1"/>
  <c r="T489" i="1" l="1"/>
  <c r="C489" i="1"/>
  <c r="I489" i="1"/>
  <c r="D489" i="1" l="1"/>
  <c r="F489" i="1"/>
  <c r="G489" i="1" s="1"/>
  <c r="Q489" i="1" l="1"/>
  <c r="R489" i="1" s="1"/>
  <c r="E489" i="1"/>
  <c r="L489" i="1"/>
  <c r="M489" i="1" s="1"/>
  <c r="S490" i="1" l="1"/>
  <c r="P490" i="1"/>
  <c r="K490" i="1"/>
  <c r="N490" i="1"/>
  <c r="T490" i="1" l="1"/>
  <c r="C490" i="1"/>
  <c r="I490" i="1"/>
  <c r="F490" i="1" l="1"/>
  <c r="G490" i="1" s="1"/>
  <c r="D490" i="1"/>
  <c r="L490" i="1" l="1"/>
  <c r="M490" i="1" s="1"/>
  <c r="Q490" i="1"/>
  <c r="R490" i="1" s="1"/>
  <c r="E490" i="1"/>
  <c r="N491" i="1" l="1"/>
  <c r="K491" i="1"/>
  <c r="P491" i="1"/>
  <c r="S491" i="1"/>
  <c r="T491" i="1" l="1"/>
  <c r="I491" i="1"/>
  <c r="C491" i="1"/>
  <c r="F491" i="1" l="1"/>
  <c r="G491" i="1" s="1"/>
  <c r="D491" i="1"/>
  <c r="L491" i="1" l="1"/>
  <c r="M491" i="1" s="1"/>
  <c r="Q491" i="1"/>
  <c r="R491" i="1" s="1"/>
  <c r="E491" i="1"/>
  <c r="N492" i="1" l="1"/>
  <c r="K492" i="1"/>
  <c r="P492" i="1"/>
  <c r="S492" i="1"/>
  <c r="T492" i="1" l="1"/>
  <c r="I492" i="1"/>
  <c r="C492" i="1"/>
  <c r="D492" i="1" l="1"/>
  <c r="F492" i="1"/>
  <c r="G492" i="1" s="1"/>
  <c r="L492" i="1" l="1"/>
  <c r="M492" i="1" s="1"/>
  <c r="Q492" i="1"/>
  <c r="R492" i="1" s="1"/>
  <c r="E492" i="1"/>
  <c r="K493" i="1" l="1"/>
  <c r="N493" i="1"/>
  <c r="S493" i="1"/>
  <c r="P493" i="1"/>
  <c r="T493" i="1" l="1"/>
  <c r="C493" i="1"/>
  <c r="I493" i="1"/>
  <c r="D493" i="1" l="1"/>
  <c r="F493" i="1"/>
  <c r="G493" i="1" s="1"/>
  <c r="Q493" i="1" l="1"/>
  <c r="R493" i="1" s="1"/>
  <c r="E493" i="1"/>
  <c r="L493" i="1"/>
  <c r="M493" i="1" s="1"/>
  <c r="P494" i="1" l="1"/>
  <c r="S494" i="1"/>
  <c r="K494" i="1"/>
  <c r="N494" i="1"/>
  <c r="T494" i="1" l="1"/>
  <c r="I494" i="1"/>
  <c r="C494" i="1"/>
  <c r="F494" i="1" l="1"/>
  <c r="G494" i="1" s="1"/>
  <c r="D494" i="1"/>
  <c r="Q494" i="1" l="1"/>
  <c r="R494" i="1" s="1"/>
  <c r="L494" i="1"/>
  <c r="M494" i="1" s="1"/>
  <c r="E494" i="1"/>
  <c r="P495" i="1" l="1"/>
  <c r="S495" i="1"/>
  <c r="N495" i="1"/>
  <c r="K495" i="1"/>
  <c r="T495" i="1" l="1"/>
  <c r="I495" i="1"/>
  <c r="C495" i="1"/>
  <c r="F495" i="1" l="1"/>
  <c r="G495" i="1" s="1"/>
  <c r="D495" i="1"/>
  <c r="L495" i="1" l="1"/>
  <c r="M495" i="1" s="1"/>
  <c r="Q495" i="1"/>
  <c r="R495" i="1" s="1"/>
  <c r="E495" i="1"/>
  <c r="K496" i="1" l="1"/>
  <c r="N496" i="1"/>
  <c r="P496" i="1"/>
  <c r="S496" i="1"/>
  <c r="T496" i="1" l="1"/>
  <c r="C496" i="1"/>
  <c r="I496" i="1"/>
  <c r="D496" i="1" l="1"/>
  <c r="F496" i="1"/>
  <c r="G496" i="1" s="1"/>
  <c r="L496" i="1" l="1"/>
  <c r="M496" i="1" s="1"/>
  <c r="Q496" i="1"/>
  <c r="R496" i="1" s="1"/>
  <c r="E496" i="1"/>
  <c r="K497" i="1" l="1"/>
  <c r="N497" i="1"/>
  <c r="S497" i="1"/>
  <c r="P497" i="1"/>
  <c r="T497" i="1" l="1"/>
  <c r="C497" i="1"/>
  <c r="I497" i="1"/>
  <c r="D497" i="1" l="1"/>
  <c r="F497" i="1"/>
  <c r="G497" i="1" s="1"/>
  <c r="Q497" i="1" l="1"/>
  <c r="R497" i="1" s="1"/>
  <c r="E497" i="1"/>
  <c r="L497" i="1"/>
  <c r="M497" i="1" s="1"/>
  <c r="P498" i="1" l="1"/>
  <c r="S498" i="1"/>
  <c r="K498" i="1"/>
  <c r="N498" i="1"/>
  <c r="T498" i="1" l="1"/>
  <c r="I498" i="1"/>
  <c r="C498" i="1"/>
  <c r="F498" i="1" l="1"/>
  <c r="G498" i="1" s="1"/>
  <c r="D498" i="1"/>
  <c r="L498" i="1" l="1"/>
  <c r="M498" i="1" s="1"/>
  <c r="Q498" i="1"/>
  <c r="R498" i="1" s="1"/>
  <c r="E498" i="1"/>
  <c r="N499" i="1" l="1"/>
  <c r="K499" i="1"/>
  <c r="P499" i="1"/>
  <c r="S499" i="1"/>
  <c r="T499" i="1" l="1"/>
  <c r="I499" i="1"/>
  <c r="C499" i="1"/>
  <c r="F499" i="1" l="1"/>
  <c r="G499" i="1" s="1"/>
  <c r="D499" i="1"/>
  <c r="L499" i="1" l="1"/>
  <c r="M499" i="1" s="1"/>
  <c r="Q499" i="1"/>
  <c r="R499" i="1" s="1"/>
  <c r="E499" i="1"/>
  <c r="K500" i="1" l="1"/>
  <c r="N500" i="1"/>
  <c r="S500" i="1"/>
  <c r="P500" i="1"/>
  <c r="T500" i="1" l="1"/>
  <c r="C500" i="1"/>
  <c r="I500" i="1"/>
  <c r="D500" i="1" l="1"/>
  <c r="F500" i="1"/>
  <c r="G500" i="1" s="1"/>
  <c r="L500" i="1" l="1"/>
  <c r="M500" i="1" s="1"/>
  <c r="Q500" i="1"/>
  <c r="R500" i="1" s="1"/>
  <c r="E500" i="1"/>
  <c r="N501" i="1" l="1"/>
  <c r="K501" i="1"/>
  <c r="S501" i="1"/>
  <c r="P501" i="1"/>
  <c r="T501" i="1" l="1"/>
  <c r="I501" i="1"/>
  <c r="C501" i="1"/>
  <c r="D501" i="1" l="1"/>
  <c r="F501" i="1"/>
  <c r="G501" i="1" s="1"/>
  <c r="Q501" i="1" l="1"/>
  <c r="R501" i="1" s="1"/>
  <c r="E501" i="1"/>
  <c r="L501" i="1"/>
  <c r="M501" i="1" s="1"/>
  <c r="P502" i="1" l="1"/>
  <c r="S502" i="1"/>
  <c r="K502" i="1"/>
  <c r="N502" i="1"/>
  <c r="T502" i="1" l="1"/>
  <c r="I502" i="1"/>
  <c r="C502" i="1"/>
  <c r="F502" i="1" l="1"/>
  <c r="G502" i="1" s="1"/>
  <c r="D502" i="1"/>
  <c r="L502" i="1" l="1"/>
  <c r="M502" i="1" s="1"/>
  <c r="Q502" i="1"/>
  <c r="R502" i="1" s="1"/>
  <c r="E502" i="1"/>
  <c r="N503" i="1" l="1"/>
  <c r="K503" i="1"/>
  <c r="P503" i="1"/>
  <c r="S503" i="1"/>
  <c r="T503" i="1" l="1"/>
  <c r="I503" i="1"/>
  <c r="C503" i="1"/>
  <c r="F503" i="1" l="1"/>
  <c r="G503" i="1" s="1"/>
  <c r="D503" i="1"/>
  <c r="L503" i="1" l="1"/>
  <c r="M503" i="1" s="1"/>
  <c r="Q503" i="1"/>
  <c r="R503" i="1" s="1"/>
  <c r="E503" i="1"/>
  <c r="K504" i="1" l="1"/>
  <c r="N504" i="1"/>
  <c r="S504" i="1"/>
  <c r="P504" i="1"/>
  <c r="T504" i="1" l="1"/>
  <c r="C504" i="1"/>
  <c r="I504" i="1"/>
  <c r="D504" i="1" l="1"/>
  <c r="F504" i="1"/>
  <c r="G504" i="1" s="1"/>
  <c r="L504" i="1" l="1"/>
  <c r="M504" i="1" s="1"/>
  <c r="Q504" i="1"/>
  <c r="R504" i="1" s="1"/>
  <c r="E504" i="1"/>
  <c r="K505" i="1" l="1"/>
  <c r="N505" i="1"/>
  <c r="P505" i="1"/>
  <c r="S505" i="1"/>
  <c r="T505" i="1" l="1"/>
  <c r="C505" i="1"/>
  <c r="I505" i="1"/>
  <c r="D505" i="1" l="1"/>
  <c r="F505" i="1"/>
  <c r="G505" i="1" s="1"/>
  <c r="Q505" i="1" l="1"/>
  <c r="R505" i="1" s="1"/>
  <c r="E505" i="1"/>
  <c r="L505" i="1"/>
  <c r="M505" i="1" s="1"/>
  <c r="S506" i="1" l="1"/>
  <c r="P506" i="1"/>
  <c r="K506" i="1"/>
  <c r="N506" i="1"/>
  <c r="T506" i="1" l="1"/>
  <c r="C506" i="1"/>
  <c r="I506" i="1"/>
  <c r="F506" i="1" l="1"/>
  <c r="G506" i="1" s="1"/>
  <c r="D506" i="1"/>
  <c r="L506" i="1" l="1"/>
  <c r="M506" i="1" s="1"/>
  <c r="Q506" i="1"/>
  <c r="R506" i="1" s="1"/>
  <c r="E506" i="1"/>
  <c r="K507" i="1" l="1"/>
  <c r="N507" i="1"/>
  <c r="S507" i="1"/>
  <c r="P507" i="1"/>
  <c r="T507" i="1" l="1"/>
  <c r="C507" i="1"/>
  <c r="I507" i="1"/>
  <c r="F507" i="1" l="1"/>
  <c r="G507" i="1" s="1"/>
  <c r="D507" i="1"/>
  <c r="L507" i="1" l="1"/>
  <c r="M507" i="1" s="1"/>
  <c r="Q507" i="1"/>
  <c r="R507" i="1" s="1"/>
  <c r="E507" i="1"/>
  <c r="N508" i="1" l="1"/>
  <c r="K508" i="1"/>
  <c r="S508" i="1"/>
  <c r="P508" i="1"/>
  <c r="T508" i="1" l="1"/>
  <c r="I508" i="1"/>
  <c r="C508" i="1"/>
  <c r="D508" i="1" l="1"/>
  <c r="F508" i="1"/>
  <c r="G508" i="1" s="1"/>
  <c r="L508" i="1" l="1"/>
  <c r="M508" i="1" s="1"/>
  <c r="Q508" i="1"/>
  <c r="R508" i="1" s="1"/>
  <c r="E508" i="1"/>
  <c r="K509" i="1" l="1"/>
  <c r="N509" i="1"/>
  <c r="P509" i="1"/>
  <c r="S509" i="1"/>
  <c r="T509" i="1" l="1"/>
  <c r="C509" i="1"/>
  <c r="I509" i="1"/>
  <c r="D509" i="1" l="1"/>
  <c r="F509" i="1"/>
  <c r="G509" i="1" s="1"/>
  <c r="Q509" i="1" l="1"/>
  <c r="R509" i="1" s="1"/>
  <c r="E509" i="1"/>
  <c r="L509" i="1"/>
  <c r="M509" i="1" s="1"/>
  <c r="S510" i="1" l="1"/>
  <c r="P510" i="1"/>
  <c r="K510" i="1"/>
  <c r="N510" i="1"/>
  <c r="T510" i="1" l="1"/>
  <c r="C510" i="1"/>
  <c r="I510" i="1"/>
  <c r="F510" i="1" l="1"/>
  <c r="G510" i="1" s="1"/>
  <c r="D510" i="1"/>
  <c r="Q510" i="1" l="1"/>
  <c r="R510" i="1" s="1"/>
  <c r="L510" i="1"/>
  <c r="M510" i="1" s="1"/>
  <c r="E510" i="1"/>
  <c r="P511" i="1" l="1"/>
  <c r="S511" i="1"/>
  <c r="N511" i="1"/>
  <c r="K511" i="1"/>
  <c r="T511" i="1" l="1"/>
  <c r="I511" i="1"/>
  <c r="C511" i="1"/>
  <c r="F511" i="1" l="1"/>
  <c r="G511" i="1" s="1"/>
  <c r="D511" i="1"/>
  <c r="L511" i="1" l="1"/>
  <c r="M511" i="1" s="1"/>
  <c r="Q511" i="1"/>
  <c r="R511" i="1" s="1"/>
  <c r="E511" i="1"/>
  <c r="K512" i="1" l="1"/>
  <c r="N512" i="1"/>
  <c r="P512" i="1"/>
  <c r="S512" i="1"/>
  <c r="T512" i="1" l="1"/>
  <c r="C512" i="1"/>
  <c r="I512" i="1"/>
  <c r="D512" i="1" l="1"/>
  <c r="F512" i="1"/>
  <c r="G512" i="1" s="1"/>
  <c r="L512" i="1" l="1"/>
  <c r="M512" i="1" s="1"/>
  <c r="Q512" i="1"/>
  <c r="R512" i="1" s="1"/>
  <c r="E512" i="1"/>
  <c r="K513" i="1" l="1"/>
  <c r="N513" i="1"/>
  <c r="S513" i="1"/>
  <c r="P513" i="1"/>
  <c r="T513" i="1" l="1"/>
  <c r="C513" i="1"/>
  <c r="I513" i="1"/>
  <c r="D513" i="1" l="1"/>
  <c r="F513" i="1"/>
  <c r="G513" i="1" s="1"/>
  <c r="Q513" i="1" l="1"/>
  <c r="R513" i="1" s="1"/>
  <c r="E513" i="1"/>
  <c r="L513" i="1"/>
  <c r="M513" i="1" s="1"/>
  <c r="S514" i="1" l="1"/>
  <c r="P514" i="1"/>
  <c r="N514" i="1"/>
  <c r="K514" i="1"/>
  <c r="T514" i="1" l="1"/>
  <c r="C514" i="1"/>
  <c r="I514" i="1"/>
  <c r="F514" i="1" l="1"/>
  <c r="G514" i="1" s="1"/>
  <c r="D514" i="1"/>
  <c r="L514" i="1" l="1"/>
  <c r="M514" i="1" s="1"/>
  <c r="Q514" i="1"/>
  <c r="R514" i="1" s="1"/>
  <c r="E514" i="1"/>
  <c r="K515" i="1" l="1"/>
  <c r="N515" i="1"/>
  <c r="P515" i="1"/>
  <c r="S515" i="1"/>
  <c r="T515" i="1" l="1"/>
  <c r="C515" i="1"/>
  <c r="I515" i="1"/>
  <c r="F515" i="1" l="1"/>
  <c r="G515" i="1" s="1"/>
  <c r="D515" i="1"/>
  <c r="L515" i="1" l="1"/>
  <c r="M515" i="1" s="1"/>
  <c r="Q515" i="1"/>
  <c r="R515" i="1" s="1"/>
  <c r="E515" i="1"/>
  <c r="K516" i="1" l="1"/>
  <c r="N516" i="1"/>
  <c r="S516" i="1"/>
  <c r="P516" i="1"/>
  <c r="T516" i="1" l="1"/>
  <c r="C516" i="1"/>
  <c r="I516" i="1"/>
  <c r="D516" i="1" l="1"/>
  <c r="F516" i="1"/>
  <c r="G516" i="1" s="1"/>
  <c r="L516" i="1" l="1"/>
  <c r="M516" i="1" s="1"/>
  <c r="Q516" i="1"/>
  <c r="R516" i="1" s="1"/>
  <c r="E516" i="1"/>
  <c r="K517" i="1" l="1"/>
  <c r="N517" i="1"/>
  <c r="P517" i="1"/>
  <c r="S517" i="1"/>
  <c r="T517" i="1" l="1"/>
  <c r="C517" i="1"/>
  <c r="I517" i="1"/>
  <c r="D517" i="1" l="1"/>
  <c r="F517" i="1"/>
  <c r="G517" i="1" s="1"/>
  <c r="Q517" i="1" l="1"/>
  <c r="R517" i="1" s="1"/>
  <c r="E517" i="1"/>
  <c r="L517" i="1"/>
  <c r="M517" i="1" s="1"/>
  <c r="S518" i="1" l="1"/>
  <c r="P518" i="1"/>
  <c r="K518" i="1"/>
  <c r="N518" i="1"/>
  <c r="T518" i="1" l="1"/>
  <c r="C518" i="1"/>
  <c r="I518" i="1"/>
  <c r="F518" i="1" l="1"/>
  <c r="G518" i="1" s="1"/>
  <c r="D518" i="1"/>
  <c r="L518" i="1" l="1"/>
  <c r="M518" i="1" s="1"/>
  <c r="Q518" i="1"/>
  <c r="R518" i="1" s="1"/>
  <c r="E518" i="1"/>
  <c r="N519" i="1" l="1"/>
  <c r="K519" i="1"/>
  <c r="P519" i="1"/>
  <c r="S519" i="1"/>
  <c r="T519" i="1" l="1"/>
  <c r="I519" i="1"/>
  <c r="C519" i="1"/>
  <c r="F519" i="1" l="1"/>
  <c r="G519" i="1" s="1"/>
  <c r="D519" i="1"/>
  <c r="L519" i="1" l="1"/>
  <c r="M519" i="1" s="1"/>
  <c r="Q519" i="1"/>
  <c r="R519" i="1" s="1"/>
  <c r="E519" i="1"/>
  <c r="K520" i="1" l="1"/>
  <c r="N520" i="1"/>
  <c r="S520" i="1"/>
  <c r="P520" i="1"/>
  <c r="T520" i="1" l="1"/>
  <c r="C520" i="1"/>
  <c r="I520" i="1"/>
  <c r="D520" i="1" l="1"/>
  <c r="F520" i="1"/>
  <c r="G520" i="1" s="1"/>
  <c r="L520" i="1" l="1"/>
  <c r="M520" i="1" s="1"/>
  <c r="Q520" i="1"/>
  <c r="R520" i="1" s="1"/>
  <c r="E520" i="1"/>
  <c r="K521" i="1" l="1"/>
  <c r="N521" i="1"/>
  <c r="P521" i="1"/>
  <c r="S521" i="1"/>
  <c r="T521" i="1" l="1"/>
  <c r="C521" i="1"/>
  <c r="I521" i="1"/>
  <c r="D521" i="1" l="1"/>
  <c r="F521" i="1"/>
  <c r="G521" i="1" s="1"/>
  <c r="Q521" i="1" l="1"/>
  <c r="R521" i="1" s="1"/>
  <c r="E521" i="1"/>
  <c r="L521" i="1"/>
  <c r="M521" i="1" s="1"/>
  <c r="S522" i="1" l="1"/>
  <c r="P522" i="1"/>
  <c r="K522" i="1"/>
  <c r="N522" i="1"/>
  <c r="T522" i="1" l="1"/>
  <c r="C522" i="1"/>
  <c r="I522" i="1"/>
  <c r="F522" i="1" l="1"/>
  <c r="G522" i="1" s="1"/>
  <c r="D522" i="1"/>
  <c r="L522" i="1" l="1"/>
  <c r="M522" i="1" s="1"/>
  <c r="Q522" i="1"/>
  <c r="R522" i="1" s="1"/>
  <c r="E522" i="1"/>
  <c r="N523" i="1" l="1"/>
  <c r="K523" i="1"/>
  <c r="P523" i="1"/>
  <c r="S523" i="1"/>
  <c r="T523" i="1" l="1"/>
  <c r="I523" i="1"/>
  <c r="C523" i="1"/>
  <c r="F523" i="1" l="1"/>
  <c r="G523" i="1" s="1"/>
  <c r="D523" i="1"/>
  <c r="L523" i="1" l="1"/>
  <c r="M523" i="1" s="1"/>
  <c r="Q523" i="1"/>
  <c r="R523" i="1" s="1"/>
  <c r="E523" i="1"/>
  <c r="K524" i="1" l="1"/>
  <c r="N524" i="1"/>
  <c r="S524" i="1"/>
  <c r="P524" i="1"/>
  <c r="T524" i="1" l="1"/>
  <c r="C524" i="1"/>
  <c r="I524" i="1"/>
  <c r="D524" i="1" l="1"/>
  <c r="F524" i="1"/>
  <c r="G524" i="1" s="1"/>
  <c r="L524" i="1" l="1"/>
  <c r="M524" i="1" s="1"/>
  <c r="Q524" i="1"/>
  <c r="R524" i="1" s="1"/>
  <c r="E524" i="1"/>
  <c r="K525" i="1" l="1"/>
  <c r="N525" i="1"/>
  <c r="P525" i="1"/>
  <c r="S525" i="1"/>
  <c r="T525" i="1" l="1"/>
  <c r="C525" i="1"/>
  <c r="I525" i="1"/>
  <c r="D525" i="1" l="1"/>
  <c r="F525" i="1"/>
  <c r="G525" i="1" s="1"/>
  <c r="Q525" i="1" l="1"/>
  <c r="R525" i="1" s="1"/>
  <c r="E525" i="1"/>
  <c r="L525" i="1"/>
  <c r="M525" i="1" s="1"/>
  <c r="S526" i="1" l="1"/>
  <c r="P526" i="1"/>
  <c r="K526" i="1"/>
  <c r="N526" i="1"/>
  <c r="T526" i="1" l="1"/>
  <c r="C526" i="1"/>
  <c r="I526" i="1"/>
  <c r="F526" i="1" l="1"/>
  <c r="G526" i="1" s="1"/>
  <c r="D526" i="1"/>
  <c r="Q526" i="1" l="1"/>
  <c r="R526" i="1" s="1"/>
  <c r="L526" i="1"/>
  <c r="M526" i="1" s="1"/>
  <c r="E526" i="1"/>
  <c r="P527" i="1" l="1"/>
  <c r="S527" i="1"/>
  <c r="N527" i="1"/>
  <c r="K527" i="1"/>
  <c r="T527" i="1" l="1"/>
  <c r="I527" i="1"/>
  <c r="C527" i="1"/>
  <c r="F527" i="1" l="1"/>
  <c r="G527" i="1" s="1"/>
  <c r="D527" i="1"/>
  <c r="L527" i="1" l="1"/>
  <c r="M527" i="1" s="1"/>
  <c r="Q527" i="1"/>
  <c r="R527" i="1" s="1"/>
  <c r="E527" i="1"/>
  <c r="K528" i="1" l="1"/>
  <c r="N528" i="1"/>
  <c r="P528" i="1"/>
  <c r="S528" i="1"/>
  <c r="T528" i="1" l="1"/>
  <c r="C528" i="1"/>
  <c r="I528" i="1"/>
  <c r="D528" i="1" l="1"/>
  <c r="F528" i="1"/>
  <c r="G528" i="1" s="1"/>
  <c r="E528" i="1" l="1"/>
  <c r="Q528" i="1"/>
  <c r="R528" i="1" s="1"/>
  <c r="L528" i="1"/>
  <c r="M528" i="1" s="1"/>
  <c r="K529" i="1" l="1"/>
  <c r="N529" i="1"/>
  <c r="S529" i="1"/>
  <c r="P529" i="1"/>
  <c r="T529" i="1" l="1"/>
  <c r="C529" i="1"/>
  <c r="I529" i="1"/>
  <c r="F529" i="1" l="1"/>
  <c r="G529" i="1" s="1"/>
  <c r="D529" i="1"/>
  <c r="Q529" i="1" l="1"/>
  <c r="R529" i="1" s="1"/>
  <c r="E529" i="1"/>
  <c r="L529" i="1"/>
  <c r="M529" i="1" s="1"/>
  <c r="S530" i="1" l="1"/>
  <c r="P530" i="1"/>
  <c r="N530" i="1"/>
  <c r="K530" i="1"/>
  <c r="T530" i="1" l="1"/>
  <c r="C530" i="1"/>
  <c r="I530" i="1"/>
  <c r="D530" i="1" l="1"/>
  <c r="F530" i="1"/>
  <c r="G530" i="1" s="1"/>
  <c r="E530" i="1" l="1"/>
  <c r="L530" i="1"/>
  <c r="M530" i="1" s="1"/>
  <c r="Q530" i="1"/>
  <c r="R530" i="1" s="1"/>
  <c r="P531" i="1" l="1"/>
  <c r="S531" i="1"/>
  <c r="K531" i="1"/>
  <c r="N531" i="1"/>
  <c r="T531" i="1" l="1"/>
  <c r="I531" i="1"/>
  <c r="C531" i="1"/>
  <c r="D531" i="1" l="1"/>
  <c r="F531" i="1"/>
  <c r="G531" i="1" s="1"/>
  <c r="L531" i="1" l="1"/>
  <c r="M531" i="1" s="1"/>
  <c r="Q531" i="1"/>
  <c r="R531" i="1" s="1"/>
  <c r="E531" i="1"/>
  <c r="N532" i="1" l="1"/>
  <c r="K532" i="1"/>
  <c r="P532" i="1"/>
  <c r="S532" i="1"/>
  <c r="T532" i="1" l="1"/>
  <c r="I532" i="1"/>
  <c r="C532" i="1"/>
  <c r="D532" i="1" l="1"/>
  <c r="F532" i="1"/>
  <c r="G532" i="1" s="1"/>
  <c r="L532" i="1" l="1"/>
  <c r="M532" i="1" s="1"/>
  <c r="Q532" i="1"/>
  <c r="R532" i="1" s="1"/>
  <c r="E532" i="1"/>
  <c r="K533" i="1" l="1"/>
  <c r="N533" i="1"/>
  <c r="S533" i="1"/>
  <c r="P533" i="1"/>
  <c r="T533" i="1" l="1"/>
  <c r="C533" i="1"/>
  <c r="I533" i="1"/>
  <c r="D533" i="1" l="1"/>
  <c r="F533" i="1"/>
  <c r="G533" i="1" s="1"/>
  <c r="Q533" i="1" l="1"/>
  <c r="R533" i="1" s="1"/>
  <c r="E533" i="1"/>
  <c r="L533" i="1"/>
  <c r="M533" i="1" s="1"/>
  <c r="S534" i="1" l="1"/>
  <c r="P534" i="1"/>
  <c r="N534" i="1"/>
  <c r="K534" i="1"/>
  <c r="T534" i="1" l="1"/>
  <c r="C534" i="1"/>
  <c r="I534" i="1"/>
  <c r="F534" i="1" l="1"/>
  <c r="G534" i="1" s="1"/>
  <c r="D534" i="1"/>
  <c r="L534" i="1" l="1"/>
  <c r="M534" i="1" s="1"/>
  <c r="Q534" i="1"/>
  <c r="R534" i="1" s="1"/>
  <c r="E534" i="1"/>
  <c r="K535" i="1" l="1"/>
  <c r="N535" i="1"/>
  <c r="P535" i="1"/>
  <c r="S535" i="1"/>
  <c r="T535" i="1" l="1"/>
  <c r="C535" i="1"/>
  <c r="I535" i="1"/>
  <c r="F535" i="1" l="1"/>
  <c r="G535" i="1" s="1"/>
  <c r="D535" i="1"/>
  <c r="L535" i="1" l="1"/>
  <c r="M535" i="1" s="1"/>
  <c r="Q535" i="1"/>
  <c r="R535" i="1" s="1"/>
  <c r="E535" i="1"/>
  <c r="K536" i="1" l="1"/>
  <c r="N536" i="1"/>
  <c r="S536" i="1"/>
  <c r="P536" i="1"/>
  <c r="T536" i="1" l="1"/>
  <c r="C536" i="1"/>
  <c r="I536" i="1"/>
  <c r="D536" i="1" l="1"/>
  <c r="F536" i="1"/>
  <c r="G536" i="1" s="1"/>
  <c r="L536" i="1" l="1"/>
  <c r="M536" i="1" s="1"/>
  <c r="Q536" i="1"/>
  <c r="R536" i="1" s="1"/>
  <c r="E536" i="1"/>
  <c r="K537" i="1" l="1"/>
  <c r="N537" i="1"/>
  <c r="P537" i="1"/>
  <c r="S537" i="1"/>
  <c r="T537" i="1" l="1"/>
  <c r="C537" i="1"/>
  <c r="I537" i="1"/>
  <c r="D537" i="1" l="1"/>
  <c r="F537" i="1"/>
  <c r="G537" i="1" s="1"/>
  <c r="Q537" i="1" l="1"/>
  <c r="R537" i="1" s="1"/>
  <c r="E537" i="1"/>
  <c r="L537" i="1"/>
  <c r="M537" i="1" s="1"/>
  <c r="S538" i="1" l="1"/>
  <c r="P538" i="1"/>
  <c r="K538" i="1"/>
  <c r="N538" i="1"/>
  <c r="T538" i="1" l="1"/>
  <c r="C538" i="1"/>
  <c r="I538" i="1"/>
  <c r="D538" i="1" l="1"/>
  <c r="F538" i="1"/>
  <c r="G538" i="1" s="1"/>
  <c r="L538" i="1" l="1"/>
  <c r="M538" i="1" s="1"/>
  <c r="Q538" i="1"/>
  <c r="R538" i="1" s="1"/>
  <c r="E538" i="1"/>
  <c r="N539" i="1" l="1"/>
  <c r="K539" i="1"/>
  <c r="P539" i="1"/>
  <c r="S539" i="1"/>
  <c r="T539" i="1" l="1"/>
  <c r="I539" i="1"/>
  <c r="C539" i="1"/>
  <c r="D539" i="1" l="1"/>
  <c r="F539" i="1"/>
  <c r="G539" i="1" s="1"/>
  <c r="Q539" i="1" l="1"/>
  <c r="R539" i="1" s="1"/>
  <c r="E539" i="1"/>
  <c r="L539" i="1"/>
  <c r="M539" i="1" s="1"/>
  <c r="S540" i="1" l="1"/>
  <c r="P540" i="1"/>
  <c r="K540" i="1"/>
  <c r="N540" i="1"/>
  <c r="T540" i="1" l="1"/>
  <c r="C540" i="1"/>
  <c r="I540" i="1"/>
  <c r="F540" i="1" l="1"/>
  <c r="G540" i="1" s="1"/>
  <c r="D540" i="1"/>
  <c r="L540" i="1" l="1"/>
  <c r="M540" i="1" s="1"/>
  <c r="Q540" i="1"/>
  <c r="R540" i="1" s="1"/>
  <c r="E540" i="1"/>
  <c r="N541" i="1" l="1"/>
  <c r="K541" i="1"/>
  <c r="P541" i="1"/>
  <c r="S541" i="1"/>
  <c r="T541" i="1" l="1"/>
  <c r="I541" i="1"/>
  <c r="C541" i="1"/>
  <c r="F541" i="1" l="1"/>
  <c r="G541" i="1" s="1"/>
  <c r="D541" i="1"/>
  <c r="L541" i="1" l="1"/>
  <c r="M541" i="1" s="1"/>
  <c r="Q541" i="1"/>
  <c r="R541" i="1" s="1"/>
  <c r="E541" i="1"/>
  <c r="K542" i="1" l="1"/>
  <c r="N542" i="1"/>
  <c r="S542" i="1"/>
  <c r="P542" i="1"/>
  <c r="T542" i="1" l="1"/>
  <c r="C542" i="1"/>
  <c r="I542" i="1"/>
  <c r="D542" i="1" l="1"/>
  <c r="F542" i="1"/>
  <c r="G542" i="1" s="1"/>
  <c r="L542" i="1" l="1"/>
  <c r="M542" i="1" s="1"/>
  <c r="Q542" i="1"/>
  <c r="R542" i="1" s="1"/>
  <c r="E542" i="1"/>
  <c r="K543" i="1" l="1"/>
  <c r="N543" i="1"/>
  <c r="P543" i="1"/>
  <c r="S543" i="1"/>
  <c r="T543" i="1" l="1"/>
  <c r="C543" i="1"/>
  <c r="I543" i="1"/>
  <c r="D543" i="1" l="1"/>
  <c r="F543" i="1"/>
  <c r="G543" i="1" s="1"/>
  <c r="Q543" i="1" l="1"/>
  <c r="R543" i="1" s="1"/>
  <c r="E543" i="1"/>
  <c r="L543" i="1"/>
  <c r="M543" i="1" s="1"/>
  <c r="S544" i="1" l="1"/>
  <c r="P544" i="1"/>
  <c r="K544" i="1"/>
  <c r="N544" i="1"/>
  <c r="T544" i="1" l="1"/>
  <c r="C544" i="1"/>
  <c r="I544" i="1"/>
  <c r="F544" i="1" l="1"/>
  <c r="G544" i="1" s="1"/>
  <c r="D544" i="1"/>
  <c r="L544" i="1" l="1"/>
  <c r="M544" i="1" s="1"/>
  <c r="Q544" i="1"/>
  <c r="R544" i="1" s="1"/>
  <c r="E544" i="1"/>
  <c r="N545" i="1" l="1"/>
  <c r="K545" i="1"/>
  <c r="P545" i="1"/>
  <c r="S545" i="1"/>
  <c r="T545" i="1" l="1"/>
  <c r="I545" i="1"/>
  <c r="C545" i="1"/>
  <c r="F545" i="1" l="1"/>
  <c r="G545" i="1" s="1"/>
  <c r="D545" i="1"/>
  <c r="L545" i="1" l="1"/>
  <c r="M545" i="1" s="1"/>
  <c r="Q545" i="1"/>
  <c r="R545" i="1" s="1"/>
  <c r="E545" i="1"/>
  <c r="N546" i="1" l="1"/>
  <c r="K546" i="1"/>
  <c r="P546" i="1"/>
  <c r="S546" i="1"/>
  <c r="T546" i="1" l="1"/>
  <c r="I546" i="1"/>
  <c r="C546" i="1"/>
  <c r="D546" i="1" l="1"/>
  <c r="F546" i="1"/>
  <c r="G546" i="1" s="1"/>
  <c r="L546" i="1" l="1"/>
  <c r="M546" i="1" s="1"/>
  <c r="Q546" i="1"/>
  <c r="R546" i="1" s="1"/>
  <c r="E546" i="1"/>
  <c r="K547" i="1" l="1"/>
  <c r="N547" i="1"/>
  <c r="S547" i="1"/>
  <c r="P547" i="1"/>
  <c r="T547" i="1" l="1"/>
  <c r="C547" i="1"/>
  <c r="I547" i="1"/>
  <c r="D547" i="1" l="1"/>
  <c r="F547" i="1"/>
  <c r="G547" i="1" s="1"/>
  <c r="Q547" i="1" l="1"/>
  <c r="R547" i="1" s="1"/>
  <c r="E547" i="1"/>
  <c r="L547" i="1"/>
  <c r="M547" i="1" s="1"/>
  <c r="S548" i="1" l="1"/>
  <c r="P548" i="1"/>
  <c r="N548" i="1"/>
  <c r="K548" i="1"/>
  <c r="T548" i="1" l="1"/>
  <c r="C548" i="1"/>
  <c r="I548" i="1"/>
  <c r="F548" i="1" l="1"/>
  <c r="G548" i="1" s="1"/>
  <c r="D548" i="1"/>
  <c r="Q548" i="1" l="1"/>
  <c r="R548" i="1" s="1"/>
  <c r="L548" i="1"/>
  <c r="M548" i="1" s="1"/>
  <c r="E548" i="1"/>
  <c r="P549" i="1" l="1"/>
  <c r="S549" i="1"/>
  <c r="K549" i="1"/>
  <c r="N549" i="1"/>
  <c r="T549" i="1" l="1"/>
  <c r="I549" i="1"/>
  <c r="C549" i="1"/>
  <c r="F549" i="1" l="1"/>
  <c r="G549" i="1" s="1"/>
  <c r="D549" i="1"/>
  <c r="L549" i="1" l="1"/>
  <c r="M549" i="1" s="1"/>
  <c r="Q549" i="1"/>
  <c r="R549" i="1" s="1"/>
  <c r="E549" i="1"/>
  <c r="N550" i="1" l="1"/>
  <c r="K550" i="1"/>
  <c r="P550" i="1"/>
  <c r="S550" i="1"/>
  <c r="T550" i="1" l="1"/>
  <c r="I550" i="1"/>
  <c r="C550" i="1"/>
  <c r="D550" i="1" l="1"/>
  <c r="F550" i="1"/>
  <c r="G550" i="1" s="1"/>
  <c r="L550" i="1" l="1"/>
  <c r="M550" i="1" s="1"/>
  <c r="Q550" i="1"/>
  <c r="R550" i="1" s="1"/>
  <c r="E550" i="1"/>
  <c r="K551" i="1" l="1"/>
  <c r="N551" i="1"/>
  <c r="S551" i="1"/>
  <c r="P551" i="1"/>
  <c r="T551" i="1" l="1"/>
  <c r="C551" i="1"/>
  <c r="I551" i="1"/>
  <c r="D551" i="1" l="1"/>
  <c r="F551" i="1"/>
  <c r="G551" i="1" s="1"/>
  <c r="Q551" i="1" l="1"/>
  <c r="R551" i="1" s="1"/>
  <c r="E551" i="1"/>
  <c r="L551" i="1"/>
  <c r="M551" i="1" s="1"/>
  <c r="S552" i="1" l="1"/>
  <c r="P552" i="1"/>
  <c r="N552" i="1"/>
  <c r="K552" i="1"/>
  <c r="T552" i="1" l="1"/>
  <c r="C552" i="1"/>
  <c r="I552" i="1"/>
  <c r="F552" i="1" l="1"/>
  <c r="G552" i="1" s="1"/>
  <c r="D552" i="1"/>
  <c r="L552" i="1" l="1"/>
  <c r="M552" i="1" s="1"/>
  <c r="Q552" i="1"/>
  <c r="R552" i="1" s="1"/>
  <c r="E552" i="1"/>
  <c r="K553" i="1" l="1"/>
  <c r="N553" i="1"/>
  <c r="P553" i="1"/>
  <c r="S553" i="1"/>
  <c r="T553" i="1" l="1"/>
  <c r="C553" i="1"/>
  <c r="I553" i="1"/>
  <c r="F553" i="1" l="1"/>
  <c r="G553" i="1" s="1"/>
  <c r="D553" i="1"/>
  <c r="L553" i="1" l="1"/>
  <c r="M553" i="1" s="1"/>
  <c r="Q553" i="1"/>
  <c r="R553" i="1" s="1"/>
  <c r="E553" i="1"/>
  <c r="K554" i="1" l="1"/>
  <c r="N554" i="1"/>
  <c r="S554" i="1"/>
  <c r="P554" i="1"/>
  <c r="T554" i="1" l="1"/>
  <c r="C554" i="1"/>
  <c r="I554" i="1"/>
  <c r="D554" i="1" l="1"/>
  <c r="F554" i="1"/>
  <c r="G554" i="1" s="1"/>
  <c r="L554" i="1" l="1"/>
  <c r="M554" i="1" s="1"/>
  <c r="Q554" i="1"/>
  <c r="R554" i="1" s="1"/>
  <c r="E554" i="1"/>
  <c r="K555" i="1" l="1"/>
  <c r="N555" i="1"/>
  <c r="P555" i="1"/>
  <c r="S555" i="1"/>
  <c r="T555" i="1" l="1"/>
  <c r="C555" i="1"/>
  <c r="I555" i="1"/>
  <c r="D555" i="1" l="1"/>
  <c r="F555" i="1"/>
  <c r="G555" i="1" s="1"/>
  <c r="Q555" i="1" l="1"/>
  <c r="R555" i="1" s="1"/>
  <c r="E555" i="1"/>
  <c r="L555" i="1"/>
  <c r="M555" i="1" s="1"/>
  <c r="S556" i="1" l="1"/>
  <c r="P556" i="1"/>
  <c r="K556" i="1"/>
  <c r="N556" i="1"/>
  <c r="T556" i="1" l="1"/>
  <c r="C556" i="1"/>
  <c r="I556" i="1"/>
  <c r="F556" i="1" l="1"/>
  <c r="G556" i="1" s="1"/>
  <c r="D556" i="1"/>
  <c r="L556" i="1" l="1"/>
  <c r="M556" i="1" s="1"/>
  <c r="Q556" i="1"/>
  <c r="R556" i="1" s="1"/>
  <c r="E556" i="1"/>
  <c r="N557" i="1" l="1"/>
  <c r="K557" i="1"/>
  <c r="P557" i="1"/>
  <c r="S557" i="1"/>
  <c r="T557" i="1" l="1"/>
  <c r="I557" i="1"/>
  <c r="C557" i="1"/>
  <c r="F557" i="1" l="1"/>
  <c r="G557" i="1" s="1"/>
  <c r="D557" i="1"/>
  <c r="L557" i="1" l="1"/>
  <c r="M557" i="1" s="1"/>
  <c r="Q557" i="1"/>
  <c r="R557" i="1" s="1"/>
  <c r="E557" i="1"/>
  <c r="K558" i="1" l="1"/>
  <c r="N558" i="1"/>
  <c r="S558" i="1"/>
  <c r="P558" i="1"/>
  <c r="T558" i="1" l="1"/>
  <c r="C558" i="1"/>
  <c r="I558" i="1"/>
  <c r="D558" i="1" l="1"/>
  <c r="F558" i="1"/>
  <c r="G558" i="1" s="1"/>
  <c r="L558" i="1" l="1"/>
  <c r="M558" i="1" s="1"/>
  <c r="Q558" i="1"/>
  <c r="R558" i="1" s="1"/>
  <c r="E558" i="1"/>
  <c r="K559" i="1" l="1"/>
  <c r="N559" i="1"/>
  <c r="P559" i="1"/>
  <c r="S559" i="1"/>
  <c r="T559" i="1" l="1"/>
  <c r="C559" i="1"/>
  <c r="I559" i="1"/>
  <c r="D559" i="1" l="1"/>
  <c r="F559" i="1"/>
  <c r="G559" i="1" s="1"/>
  <c r="Q559" i="1" l="1"/>
  <c r="R559" i="1" s="1"/>
  <c r="E559" i="1"/>
  <c r="L559" i="1"/>
  <c r="M559" i="1" s="1"/>
  <c r="S560" i="1" l="1"/>
  <c r="P560" i="1"/>
  <c r="K560" i="1"/>
  <c r="N560" i="1"/>
  <c r="T560" i="1" l="1"/>
  <c r="C560" i="1"/>
  <c r="I560" i="1"/>
  <c r="F560" i="1" l="1"/>
  <c r="G560" i="1" s="1"/>
  <c r="D560" i="1"/>
  <c r="L560" i="1" l="1"/>
  <c r="M560" i="1" s="1"/>
  <c r="Q560" i="1"/>
  <c r="R560" i="1" s="1"/>
  <c r="E560" i="1"/>
  <c r="N561" i="1" l="1"/>
  <c r="K561" i="1"/>
  <c r="P561" i="1"/>
  <c r="S561" i="1"/>
  <c r="T561" i="1" l="1"/>
  <c r="I561" i="1"/>
  <c r="C561" i="1"/>
  <c r="F561" i="1" l="1"/>
  <c r="G561" i="1" s="1"/>
  <c r="D561" i="1"/>
  <c r="L561" i="1" l="1"/>
  <c r="M561" i="1" s="1"/>
  <c r="Q561" i="1"/>
  <c r="R561" i="1" s="1"/>
  <c r="E561" i="1"/>
  <c r="K562" i="1" l="1"/>
  <c r="N562" i="1"/>
  <c r="S562" i="1"/>
  <c r="P562" i="1"/>
  <c r="T562" i="1" l="1"/>
  <c r="C562" i="1"/>
  <c r="I562" i="1"/>
  <c r="D562" i="1" l="1"/>
  <c r="F562" i="1"/>
  <c r="G562" i="1" s="1"/>
  <c r="L562" i="1" l="1"/>
  <c r="M562" i="1" s="1"/>
  <c r="Q562" i="1"/>
  <c r="R562" i="1" s="1"/>
  <c r="E562" i="1"/>
  <c r="N563" i="1" l="1"/>
  <c r="K563" i="1"/>
  <c r="S563" i="1"/>
  <c r="P563" i="1"/>
  <c r="T563" i="1" l="1"/>
  <c r="I563" i="1"/>
  <c r="C563" i="1"/>
  <c r="D563" i="1" l="1"/>
  <c r="F563" i="1"/>
  <c r="G563" i="1" s="1"/>
  <c r="Q563" i="1" l="1"/>
  <c r="R563" i="1" s="1"/>
  <c r="E563" i="1"/>
  <c r="L563" i="1"/>
  <c r="M563" i="1" s="1"/>
  <c r="P564" i="1" l="1"/>
  <c r="S564" i="1"/>
  <c r="K564" i="1"/>
  <c r="N564" i="1"/>
  <c r="T564" i="1" l="1"/>
  <c r="I564" i="1"/>
  <c r="C564" i="1"/>
  <c r="F564" i="1" l="1"/>
  <c r="G564" i="1" s="1"/>
  <c r="D564" i="1"/>
  <c r="Q564" i="1" l="1"/>
  <c r="R564" i="1" s="1"/>
  <c r="L564" i="1"/>
  <c r="M564" i="1" s="1"/>
  <c r="E564" i="1"/>
  <c r="P565" i="1" l="1"/>
  <c r="S565" i="1"/>
  <c r="N565" i="1"/>
  <c r="K565" i="1"/>
  <c r="T565" i="1" l="1"/>
  <c r="I565" i="1"/>
  <c r="C565" i="1"/>
  <c r="F565" i="1" l="1"/>
  <c r="G565" i="1" s="1"/>
  <c r="D565" i="1"/>
  <c r="L565" i="1" l="1"/>
  <c r="M565" i="1" s="1"/>
  <c r="Q565" i="1"/>
  <c r="R565" i="1" s="1"/>
  <c r="E565" i="1"/>
  <c r="N566" i="1" l="1"/>
  <c r="K566" i="1"/>
  <c r="S566" i="1"/>
  <c r="P566" i="1"/>
  <c r="T566" i="1" l="1"/>
  <c r="I566" i="1"/>
  <c r="C566" i="1"/>
  <c r="D566" i="1" l="1"/>
  <c r="F566" i="1"/>
  <c r="G566" i="1" s="1"/>
  <c r="L566" i="1" l="1"/>
  <c r="M566" i="1" s="1"/>
  <c r="Q566" i="1"/>
  <c r="R566" i="1" s="1"/>
  <c r="E566" i="1"/>
  <c r="K567" i="1" l="1"/>
  <c r="N567" i="1"/>
  <c r="P567" i="1"/>
  <c r="S567" i="1"/>
  <c r="T567" i="1" l="1"/>
  <c r="C567" i="1"/>
  <c r="I567" i="1"/>
  <c r="D567" i="1" l="1"/>
  <c r="F567" i="1"/>
  <c r="G567" i="1" s="1"/>
  <c r="Q567" i="1" l="1"/>
  <c r="R567" i="1" s="1"/>
  <c r="E567" i="1"/>
  <c r="L567" i="1"/>
  <c r="M567" i="1" s="1"/>
  <c r="S568" i="1" l="1"/>
  <c r="P568" i="1"/>
  <c r="K568" i="1"/>
  <c r="N568" i="1"/>
  <c r="T568" i="1" l="1"/>
  <c r="C568" i="1"/>
  <c r="I568" i="1"/>
  <c r="F568" i="1" l="1"/>
  <c r="G568" i="1" s="1"/>
  <c r="D568" i="1"/>
  <c r="L568" i="1" l="1"/>
  <c r="M568" i="1" s="1"/>
  <c r="Q568" i="1"/>
  <c r="R568" i="1" s="1"/>
  <c r="E568" i="1"/>
  <c r="N569" i="1" l="1"/>
  <c r="K569" i="1"/>
  <c r="P569" i="1"/>
  <c r="S569" i="1"/>
  <c r="T569" i="1" l="1"/>
  <c r="I569" i="1"/>
  <c r="C569" i="1"/>
  <c r="F569" i="1" l="1"/>
  <c r="G569" i="1" s="1"/>
  <c r="D569" i="1"/>
  <c r="L569" i="1" l="1"/>
  <c r="M569" i="1" s="1"/>
  <c r="Q569" i="1"/>
  <c r="R569" i="1" s="1"/>
  <c r="E569" i="1"/>
  <c r="K570" i="1" l="1"/>
  <c r="N570" i="1"/>
  <c r="S570" i="1"/>
  <c r="P570" i="1"/>
  <c r="T570" i="1" l="1"/>
  <c r="C570" i="1"/>
  <c r="I570" i="1"/>
  <c r="D570" i="1" l="1"/>
  <c r="F570" i="1"/>
  <c r="G570" i="1" s="1"/>
  <c r="L570" i="1" l="1"/>
  <c r="M570" i="1" s="1"/>
  <c r="Q570" i="1"/>
  <c r="R570" i="1" s="1"/>
  <c r="E570" i="1"/>
  <c r="N571" i="1" l="1"/>
  <c r="K571" i="1"/>
  <c r="S571" i="1"/>
  <c r="P571" i="1"/>
  <c r="T571" i="1" l="1"/>
  <c r="I571" i="1"/>
  <c r="C571" i="1"/>
  <c r="D571" i="1" l="1"/>
  <c r="F571" i="1"/>
  <c r="G571" i="1" s="1"/>
  <c r="Q571" i="1" l="1"/>
  <c r="R571" i="1" s="1"/>
  <c r="E571" i="1"/>
  <c r="L571" i="1"/>
  <c r="M571" i="1" s="1"/>
  <c r="K572" i="1" l="1"/>
  <c r="N572" i="1"/>
  <c r="P572" i="1"/>
  <c r="S572" i="1"/>
  <c r="T572" i="1" l="1"/>
  <c r="C572" i="1"/>
  <c r="I572" i="1"/>
  <c r="F572" i="1" l="1"/>
  <c r="G572" i="1" s="1"/>
  <c r="D572" i="1"/>
  <c r="L572" i="1" l="1"/>
  <c r="M572" i="1" s="1"/>
  <c r="Q572" i="1"/>
  <c r="R572" i="1" s="1"/>
  <c r="E572" i="1"/>
  <c r="K573" i="1" l="1"/>
  <c r="N573" i="1"/>
  <c r="P573" i="1"/>
  <c r="S573" i="1"/>
  <c r="T573" i="1" l="1"/>
  <c r="C573" i="1"/>
  <c r="I573" i="1"/>
  <c r="F573" i="1" l="1"/>
  <c r="G573" i="1" s="1"/>
  <c r="D573" i="1"/>
  <c r="L573" i="1" l="1"/>
  <c r="M573" i="1" s="1"/>
  <c r="Q573" i="1"/>
  <c r="R573" i="1" s="1"/>
  <c r="E573" i="1"/>
  <c r="K574" i="1" l="1"/>
  <c r="N574" i="1"/>
  <c r="P574" i="1"/>
  <c r="S574" i="1"/>
  <c r="T574" i="1" l="1"/>
  <c r="C574" i="1"/>
  <c r="I574" i="1"/>
  <c r="D574" i="1" l="1"/>
  <c r="F574" i="1"/>
  <c r="G574" i="1" s="1"/>
  <c r="L574" i="1" l="1"/>
  <c r="M574" i="1" s="1"/>
  <c r="Q574" i="1"/>
  <c r="R574" i="1" s="1"/>
  <c r="E574" i="1"/>
  <c r="K575" i="1" l="1"/>
  <c r="N575" i="1"/>
  <c r="S575" i="1"/>
  <c r="P575" i="1"/>
  <c r="T575" i="1" l="1"/>
  <c r="C575" i="1"/>
  <c r="I575" i="1"/>
  <c r="D575" i="1" l="1"/>
  <c r="F575" i="1"/>
  <c r="G575" i="1" s="1"/>
  <c r="Q575" i="1" l="1"/>
  <c r="R575" i="1" s="1"/>
  <c r="E575" i="1"/>
  <c r="L575" i="1"/>
  <c r="M575" i="1" s="1"/>
  <c r="S576" i="1" l="1"/>
  <c r="P576" i="1"/>
  <c r="N576" i="1"/>
  <c r="K576" i="1"/>
  <c r="T576" i="1" l="1"/>
  <c r="C576" i="1"/>
  <c r="I576" i="1"/>
  <c r="F576" i="1" l="1"/>
  <c r="G576" i="1" s="1"/>
  <c r="D576" i="1"/>
  <c r="L576" i="1" l="1"/>
  <c r="M576" i="1" s="1"/>
  <c r="Q576" i="1"/>
  <c r="R576" i="1" s="1"/>
  <c r="E576" i="1"/>
  <c r="K577" i="1" l="1"/>
  <c r="N577" i="1"/>
  <c r="P577" i="1"/>
  <c r="S577" i="1"/>
  <c r="T577" i="1" l="1"/>
  <c r="C577" i="1"/>
  <c r="I577" i="1"/>
  <c r="F577" i="1" l="1"/>
  <c r="G577" i="1" s="1"/>
  <c r="D577" i="1"/>
  <c r="L577" i="1" l="1"/>
  <c r="M577" i="1" s="1"/>
  <c r="Q577" i="1"/>
  <c r="R577" i="1" s="1"/>
  <c r="E577" i="1"/>
  <c r="K578" i="1" l="1"/>
  <c r="N578" i="1"/>
  <c r="S578" i="1"/>
  <c r="P578" i="1"/>
  <c r="T578" i="1" l="1"/>
  <c r="C578" i="1"/>
  <c r="I578" i="1"/>
  <c r="D578" i="1" l="1"/>
  <c r="F578" i="1"/>
  <c r="G578" i="1" s="1"/>
  <c r="L578" i="1" l="1"/>
  <c r="M578" i="1" s="1"/>
  <c r="Q578" i="1"/>
  <c r="R578" i="1" s="1"/>
  <c r="E578" i="1"/>
  <c r="N579" i="1" l="1"/>
  <c r="K579" i="1"/>
  <c r="S579" i="1"/>
  <c r="P579" i="1"/>
  <c r="T579" i="1" l="1"/>
  <c r="I579" i="1"/>
  <c r="C579" i="1"/>
  <c r="D579" i="1" l="1"/>
  <c r="F579" i="1"/>
  <c r="G579" i="1" s="1"/>
  <c r="Q579" i="1" l="1"/>
  <c r="R579" i="1" s="1"/>
  <c r="E579" i="1"/>
  <c r="L579" i="1"/>
  <c r="M579" i="1" s="1"/>
  <c r="P580" i="1" l="1"/>
  <c r="S580" i="1"/>
  <c r="K580" i="1"/>
  <c r="N580" i="1"/>
  <c r="T580" i="1" l="1"/>
  <c r="I580" i="1"/>
  <c r="C580" i="1"/>
  <c r="F580" i="1" l="1"/>
  <c r="G580" i="1" s="1"/>
  <c r="D580" i="1"/>
  <c r="Q580" i="1" l="1"/>
  <c r="R580" i="1" s="1"/>
  <c r="L580" i="1"/>
  <c r="M580" i="1" s="1"/>
  <c r="E580" i="1"/>
  <c r="P581" i="1" l="1"/>
  <c r="S581" i="1"/>
  <c r="N581" i="1"/>
  <c r="K581" i="1"/>
  <c r="T581" i="1" l="1"/>
  <c r="I581" i="1"/>
  <c r="C581" i="1"/>
  <c r="F581" i="1" l="1"/>
  <c r="G581" i="1" s="1"/>
  <c r="D581" i="1"/>
  <c r="L581" i="1" l="1"/>
  <c r="M581" i="1" s="1"/>
  <c r="Q581" i="1"/>
  <c r="R581" i="1" s="1"/>
  <c r="E581" i="1"/>
  <c r="N582" i="1" l="1"/>
  <c r="K582" i="1"/>
  <c r="S582" i="1"/>
  <c r="P582" i="1"/>
  <c r="T582" i="1" l="1"/>
  <c r="I582" i="1"/>
  <c r="C582" i="1"/>
  <c r="D582" i="1" l="1"/>
  <c r="F582" i="1"/>
  <c r="G582" i="1" s="1"/>
  <c r="L582" i="1" l="1"/>
  <c r="M582" i="1" s="1"/>
  <c r="Q582" i="1"/>
  <c r="R582" i="1" s="1"/>
  <c r="E582" i="1"/>
  <c r="K583" i="1" l="1"/>
  <c r="N583" i="1"/>
  <c r="P583" i="1"/>
  <c r="S583" i="1"/>
  <c r="T583" i="1" l="1"/>
  <c r="C583" i="1"/>
  <c r="I583" i="1"/>
  <c r="D583" i="1" l="1"/>
  <c r="F583" i="1"/>
  <c r="G583" i="1" s="1"/>
  <c r="Q583" i="1" l="1"/>
  <c r="R583" i="1" s="1"/>
  <c r="E583" i="1"/>
  <c r="L583" i="1"/>
  <c r="M583" i="1" s="1"/>
  <c r="S584" i="1" l="1"/>
  <c r="P584" i="1"/>
  <c r="K584" i="1"/>
  <c r="N584" i="1"/>
  <c r="T584" i="1" l="1"/>
  <c r="C584" i="1"/>
  <c r="I584" i="1"/>
  <c r="F584" i="1" l="1"/>
  <c r="G584" i="1" s="1"/>
  <c r="D584" i="1"/>
  <c r="L584" i="1" l="1"/>
  <c r="M584" i="1" s="1"/>
  <c r="Q584" i="1"/>
  <c r="R584" i="1" s="1"/>
  <c r="E584" i="1"/>
  <c r="N585" i="1" l="1"/>
  <c r="K585" i="1"/>
  <c r="P585" i="1"/>
  <c r="S585" i="1"/>
  <c r="T585" i="1" l="1"/>
  <c r="I585" i="1"/>
  <c r="C585" i="1"/>
  <c r="F585" i="1" l="1"/>
  <c r="G585" i="1" s="1"/>
  <c r="D585" i="1"/>
  <c r="L585" i="1" l="1"/>
  <c r="M585" i="1" s="1"/>
  <c r="Q585" i="1"/>
  <c r="R585" i="1" s="1"/>
  <c r="E585" i="1"/>
  <c r="K586" i="1" l="1"/>
  <c r="N586" i="1"/>
  <c r="S586" i="1"/>
  <c r="P586" i="1"/>
  <c r="T586" i="1" l="1"/>
  <c r="C586" i="1"/>
  <c r="I586" i="1"/>
  <c r="D586" i="1" l="1"/>
  <c r="F586" i="1"/>
  <c r="G586" i="1" s="1"/>
  <c r="L586" i="1" l="1"/>
  <c r="M586" i="1" s="1"/>
  <c r="Q586" i="1"/>
  <c r="R586" i="1" s="1"/>
  <c r="E586" i="1"/>
  <c r="K587" i="1" l="1"/>
  <c r="N587" i="1"/>
  <c r="P587" i="1"/>
  <c r="S587" i="1"/>
  <c r="T587" i="1" l="1"/>
  <c r="C587" i="1"/>
  <c r="I587" i="1"/>
  <c r="D587" i="1" l="1"/>
  <c r="F587" i="1"/>
  <c r="G587" i="1" s="1"/>
  <c r="Q587" i="1" l="1"/>
  <c r="R587" i="1" s="1"/>
  <c r="E587" i="1"/>
  <c r="L587" i="1"/>
  <c r="M587" i="1" s="1"/>
  <c r="S588" i="1" l="1"/>
  <c r="P588" i="1"/>
  <c r="K588" i="1"/>
  <c r="N588" i="1"/>
  <c r="T588" i="1" l="1"/>
  <c r="C588" i="1"/>
  <c r="I588" i="1"/>
  <c r="F588" i="1" l="1"/>
  <c r="G588" i="1" s="1"/>
  <c r="D588" i="1"/>
  <c r="L588" i="1" l="1"/>
  <c r="M588" i="1" s="1"/>
  <c r="Q588" i="1"/>
  <c r="R588" i="1" s="1"/>
  <c r="E588" i="1"/>
  <c r="N589" i="1" l="1"/>
  <c r="K589" i="1"/>
  <c r="P589" i="1"/>
  <c r="S589" i="1"/>
  <c r="T589" i="1" l="1"/>
  <c r="I589" i="1"/>
  <c r="C589" i="1"/>
  <c r="F589" i="1" l="1"/>
  <c r="G589" i="1" s="1"/>
  <c r="D589" i="1"/>
  <c r="L589" i="1" l="1"/>
  <c r="M589" i="1" s="1"/>
  <c r="Q589" i="1"/>
  <c r="R589" i="1" s="1"/>
  <c r="E589" i="1"/>
  <c r="K590" i="1" l="1"/>
  <c r="N590" i="1"/>
  <c r="S590" i="1"/>
  <c r="P590" i="1"/>
  <c r="T590" i="1" l="1"/>
  <c r="C590" i="1"/>
  <c r="I590" i="1"/>
  <c r="D590" i="1" l="1"/>
  <c r="F590" i="1"/>
  <c r="G590" i="1" s="1"/>
  <c r="L590" i="1" l="1"/>
  <c r="M590" i="1" s="1"/>
  <c r="Q590" i="1"/>
  <c r="R590" i="1" s="1"/>
  <c r="E590" i="1"/>
  <c r="K591" i="1" l="1"/>
  <c r="N591" i="1"/>
  <c r="P591" i="1"/>
  <c r="S591" i="1"/>
  <c r="T591" i="1" l="1"/>
  <c r="C591" i="1"/>
  <c r="I591" i="1"/>
  <c r="D591" i="1" l="1"/>
  <c r="F591" i="1"/>
  <c r="G591" i="1" s="1"/>
  <c r="Q591" i="1" l="1"/>
  <c r="R591" i="1" s="1"/>
  <c r="E591" i="1"/>
  <c r="L591" i="1"/>
  <c r="M591" i="1" s="1"/>
  <c r="S592" i="1" l="1"/>
  <c r="P592" i="1"/>
  <c r="K592" i="1"/>
  <c r="N592" i="1"/>
  <c r="T592" i="1" l="1"/>
  <c r="C592" i="1"/>
  <c r="I592" i="1"/>
  <c r="F592" i="1" l="1"/>
  <c r="G592" i="1" s="1"/>
  <c r="D592" i="1"/>
  <c r="L592" i="1" l="1"/>
  <c r="M592" i="1" s="1"/>
  <c r="Q592" i="1"/>
  <c r="R592" i="1" s="1"/>
  <c r="E592" i="1"/>
  <c r="N593" i="1" l="1"/>
  <c r="K593" i="1"/>
  <c r="P593" i="1"/>
  <c r="S593" i="1"/>
  <c r="T593" i="1" l="1"/>
  <c r="I593" i="1"/>
  <c r="C593" i="1"/>
  <c r="F593" i="1" l="1"/>
  <c r="G593" i="1" s="1"/>
  <c r="D593" i="1"/>
  <c r="L593" i="1" l="1"/>
  <c r="M593" i="1" s="1"/>
  <c r="Q593" i="1"/>
  <c r="R593" i="1" s="1"/>
  <c r="E593" i="1"/>
  <c r="K594" i="1" l="1"/>
  <c r="N594" i="1"/>
  <c r="S594" i="1"/>
  <c r="P594" i="1"/>
  <c r="T594" i="1" l="1"/>
  <c r="C594" i="1"/>
  <c r="I594" i="1"/>
  <c r="D594" i="1" l="1"/>
  <c r="F594" i="1"/>
  <c r="G594" i="1" s="1"/>
  <c r="L594" i="1" l="1"/>
  <c r="M594" i="1" s="1"/>
  <c r="Q594" i="1"/>
  <c r="R594" i="1" s="1"/>
  <c r="E594" i="1"/>
  <c r="S595" i="1" l="1"/>
  <c r="P595" i="1"/>
  <c r="N595" i="1"/>
  <c r="K595" i="1"/>
  <c r="T595" i="1" l="1"/>
  <c r="C595" i="1"/>
  <c r="I595" i="1"/>
  <c r="F595" i="1" l="1"/>
  <c r="G595" i="1" s="1"/>
  <c r="D595" i="1"/>
  <c r="L595" i="1" l="1"/>
  <c r="M595" i="1" s="1"/>
  <c r="Q595" i="1"/>
  <c r="R595" i="1" s="1"/>
  <c r="E595" i="1"/>
  <c r="N596" i="1" l="1"/>
  <c r="K596" i="1"/>
  <c r="P596" i="1"/>
  <c r="S596" i="1"/>
  <c r="T596" i="1" l="1"/>
  <c r="I596" i="1"/>
  <c r="C596" i="1"/>
  <c r="D596" i="1" l="1"/>
  <c r="F596" i="1"/>
  <c r="G596" i="1" s="1"/>
  <c r="Q596" i="1" l="1"/>
  <c r="R596" i="1" s="1"/>
  <c r="L596" i="1"/>
  <c r="M596" i="1" s="1"/>
  <c r="E596" i="1"/>
  <c r="S597" i="1" l="1"/>
  <c r="P597" i="1"/>
  <c r="K597" i="1"/>
  <c r="N597" i="1"/>
  <c r="T597" i="1" l="1"/>
  <c r="C597" i="1"/>
  <c r="I597" i="1"/>
  <c r="D597" i="1" l="1"/>
  <c r="F597" i="1"/>
  <c r="G597" i="1" s="1"/>
  <c r="L597" i="1" l="1"/>
  <c r="M597" i="1" s="1"/>
  <c r="Q597" i="1"/>
  <c r="R597" i="1" s="1"/>
  <c r="E597" i="1"/>
  <c r="N598" i="1" l="1"/>
  <c r="K598" i="1"/>
  <c r="P598" i="1"/>
  <c r="S598" i="1"/>
  <c r="T598" i="1" l="1"/>
  <c r="I598" i="1"/>
  <c r="C598" i="1"/>
  <c r="D598" i="1" l="1"/>
  <c r="F598" i="1"/>
  <c r="G598" i="1" s="1"/>
  <c r="E598" i="1" l="1"/>
  <c r="L598" i="1"/>
  <c r="M598" i="1" s="1"/>
  <c r="Q598" i="1"/>
  <c r="R598" i="1" s="1"/>
  <c r="S599" i="1" l="1"/>
  <c r="P599" i="1"/>
  <c r="K599" i="1"/>
  <c r="N599" i="1"/>
  <c r="T599" i="1" l="1"/>
  <c r="C599" i="1"/>
  <c r="I599" i="1"/>
  <c r="D599" i="1" l="1"/>
  <c r="F599" i="1"/>
  <c r="G599" i="1" s="1"/>
  <c r="Q599" i="1" l="1"/>
  <c r="R599" i="1" s="1"/>
  <c r="L599" i="1"/>
  <c r="M599" i="1" s="1"/>
  <c r="E599" i="1"/>
  <c r="P600" i="1" l="1"/>
  <c r="S600" i="1"/>
  <c r="N600" i="1"/>
  <c r="K600" i="1"/>
  <c r="T600" i="1" l="1"/>
  <c r="I600" i="1"/>
  <c r="C600" i="1"/>
  <c r="D600" i="1" l="1"/>
  <c r="F600" i="1"/>
  <c r="G600" i="1" s="1"/>
  <c r="L600" i="1" l="1"/>
  <c r="M600" i="1" s="1"/>
  <c r="Q600" i="1"/>
  <c r="R600" i="1" s="1"/>
  <c r="E600" i="1"/>
  <c r="K601" i="1" l="1"/>
  <c r="N601" i="1"/>
  <c r="P601" i="1"/>
  <c r="S601" i="1"/>
  <c r="T601" i="1" l="1"/>
  <c r="C601" i="1"/>
  <c r="I601" i="1"/>
  <c r="D601" i="1" l="1"/>
  <c r="F601" i="1"/>
  <c r="G601" i="1" s="1"/>
  <c r="L601" i="1" l="1"/>
  <c r="M601" i="1" s="1"/>
  <c r="Q601" i="1"/>
  <c r="R601" i="1" s="1"/>
  <c r="E601" i="1"/>
  <c r="K602" i="1" l="1"/>
  <c r="N602" i="1"/>
  <c r="S602" i="1"/>
  <c r="P602" i="1"/>
  <c r="T602" i="1" l="1"/>
  <c r="C602" i="1"/>
  <c r="I602" i="1"/>
  <c r="D602" i="1" l="1"/>
  <c r="F602" i="1"/>
  <c r="G602" i="1" s="1"/>
  <c r="L602" i="1" l="1"/>
  <c r="M602" i="1" s="1"/>
  <c r="Q602" i="1"/>
  <c r="R602" i="1" s="1"/>
  <c r="E602" i="1"/>
  <c r="N603" i="1" l="1"/>
  <c r="K603" i="1"/>
  <c r="S603" i="1"/>
  <c r="P603" i="1"/>
  <c r="T603" i="1" l="1"/>
  <c r="I603" i="1"/>
  <c r="C603" i="1"/>
  <c r="F603" i="1" l="1"/>
  <c r="G603" i="1" s="1"/>
  <c r="D603" i="1"/>
  <c r="Q603" i="1" l="1"/>
  <c r="R603" i="1" s="1"/>
  <c r="E603" i="1"/>
  <c r="L603" i="1"/>
  <c r="M603" i="1" s="1"/>
  <c r="P604" i="1" l="1"/>
  <c r="S604" i="1"/>
  <c r="K604" i="1"/>
  <c r="N604" i="1"/>
  <c r="T604" i="1" l="1"/>
  <c r="I604" i="1"/>
  <c r="C604" i="1"/>
  <c r="D604" i="1" l="1"/>
  <c r="F604" i="1"/>
  <c r="G604" i="1" s="1"/>
  <c r="Q604" i="1" l="1"/>
  <c r="R604" i="1" s="1"/>
  <c r="L604" i="1"/>
  <c r="M604" i="1" s="1"/>
  <c r="E604" i="1"/>
  <c r="P605" i="1" l="1"/>
  <c r="S605" i="1"/>
  <c r="N605" i="1"/>
  <c r="K605" i="1"/>
  <c r="T605" i="1" l="1"/>
  <c r="I605" i="1"/>
  <c r="C605" i="1"/>
  <c r="D605" i="1" l="1"/>
  <c r="F605" i="1"/>
  <c r="G605" i="1" s="1"/>
  <c r="Q605" i="1" l="1"/>
  <c r="R605" i="1" s="1"/>
  <c r="L605" i="1"/>
  <c r="M605" i="1" s="1"/>
  <c r="E605" i="1"/>
  <c r="P606" i="1" l="1"/>
  <c r="S606" i="1"/>
  <c r="K606" i="1"/>
  <c r="N606" i="1"/>
  <c r="T606" i="1" l="1"/>
  <c r="I606" i="1"/>
  <c r="C606" i="1"/>
  <c r="D606" i="1" l="1"/>
  <c r="F606" i="1"/>
  <c r="G606" i="1" s="1"/>
  <c r="Q606" i="1" l="1"/>
  <c r="R606" i="1" s="1"/>
  <c r="L606" i="1"/>
  <c r="M606" i="1" s="1"/>
  <c r="E606" i="1"/>
  <c r="P607" i="1" l="1"/>
  <c r="S607" i="1"/>
  <c r="N607" i="1"/>
  <c r="K607" i="1"/>
  <c r="T607" i="1" l="1"/>
  <c r="I607" i="1"/>
  <c r="C607" i="1"/>
  <c r="F607" i="1" l="1"/>
  <c r="G607" i="1" s="1"/>
  <c r="D607" i="1"/>
  <c r="L607" i="1" l="1"/>
  <c r="M607" i="1" s="1"/>
  <c r="Q607" i="1"/>
  <c r="R607" i="1" s="1"/>
  <c r="E607" i="1"/>
  <c r="K608" i="1" l="1"/>
  <c r="N608" i="1"/>
  <c r="P608" i="1"/>
  <c r="S608" i="1"/>
  <c r="T608" i="1" l="1"/>
  <c r="C608" i="1"/>
  <c r="I608" i="1"/>
  <c r="D608" i="1" l="1"/>
  <c r="F608" i="1"/>
  <c r="G608" i="1" s="1"/>
  <c r="L608" i="1" l="1"/>
  <c r="M608" i="1" s="1"/>
  <c r="Q608" i="1"/>
  <c r="R608" i="1" s="1"/>
  <c r="E608" i="1"/>
  <c r="K609" i="1" l="1"/>
  <c r="N609" i="1"/>
  <c r="S609" i="1"/>
  <c r="P609" i="1"/>
  <c r="T609" i="1" l="1"/>
  <c r="C609" i="1"/>
  <c r="I609" i="1"/>
  <c r="F609" i="1" l="1"/>
  <c r="G609" i="1" s="1"/>
  <c r="D609" i="1"/>
  <c r="L609" i="1" l="1"/>
  <c r="M609" i="1" s="1"/>
  <c r="Q609" i="1"/>
  <c r="R609" i="1" s="1"/>
  <c r="E609" i="1"/>
  <c r="N610" i="1" l="1"/>
  <c r="K610" i="1"/>
  <c r="S610" i="1"/>
  <c r="P610" i="1"/>
  <c r="T610" i="1" l="1"/>
  <c r="I610" i="1"/>
  <c r="C610" i="1"/>
  <c r="D610" i="1" l="1"/>
  <c r="F610" i="1"/>
  <c r="G610" i="1" s="1"/>
  <c r="Q610" i="1" l="1"/>
  <c r="R610" i="1" s="1"/>
  <c r="E610" i="1"/>
  <c r="L610" i="1"/>
  <c r="M610" i="1" s="1"/>
  <c r="P611" i="1" l="1"/>
  <c r="S611" i="1"/>
  <c r="K611" i="1"/>
  <c r="N611" i="1"/>
  <c r="T611" i="1" l="1"/>
  <c r="I611" i="1"/>
  <c r="C611" i="1"/>
  <c r="F611" i="1" l="1"/>
  <c r="G611" i="1" s="1"/>
  <c r="D611" i="1"/>
  <c r="L611" i="1" l="1"/>
  <c r="M611" i="1" s="1"/>
  <c r="Q611" i="1"/>
  <c r="R611" i="1" s="1"/>
  <c r="E611" i="1"/>
  <c r="N612" i="1" l="1"/>
  <c r="K612" i="1"/>
  <c r="P612" i="1"/>
  <c r="S612" i="1"/>
  <c r="T612" i="1" l="1"/>
  <c r="I612" i="1"/>
  <c r="C612" i="1"/>
  <c r="D612" i="1" l="1"/>
  <c r="F612" i="1"/>
  <c r="G612" i="1" s="1"/>
  <c r="L612" i="1" l="1"/>
  <c r="M612" i="1" s="1"/>
  <c r="Q612" i="1"/>
  <c r="R612" i="1" s="1"/>
  <c r="E612" i="1"/>
  <c r="K613" i="1" l="1"/>
  <c r="N613" i="1"/>
  <c r="S613" i="1"/>
  <c r="P613" i="1"/>
  <c r="T613" i="1" l="1"/>
  <c r="C613" i="1"/>
  <c r="I613" i="1"/>
  <c r="D613" i="1" l="1"/>
  <c r="F613" i="1"/>
  <c r="G613" i="1" s="1"/>
  <c r="L613" i="1" l="1"/>
  <c r="M613" i="1" s="1"/>
  <c r="E613" i="1"/>
  <c r="Q613" i="1"/>
  <c r="R613" i="1" s="1"/>
  <c r="N614" i="1" l="1"/>
  <c r="K614" i="1"/>
  <c r="S614" i="1"/>
  <c r="P614" i="1"/>
  <c r="T614" i="1" l="1"/>
  <c r="I614" i="1"/>
  <c r="C614" i="1"/>
  <c r="D614" i="1" l="1"/>
  <c r="F614" i="1"/>
  <c r="G614" i="1" s="1"/>
  <c r="Q614" i="1" l="1"/>
  <c r="R614" i="1" s="1"/>
  <c r="L614" i="1"/>
  <c r="M614" i="1" s="1"/>
  <c r="E614" i="1"/>
  <c r="P615" i="1" l="1"/>
  <c r="S615" i="1"/>
  <c r="K615" i="1"/>
  <c r="N615" i="1"/>
  <c r="T615" i="1" l="1"/>
  <c r="I615" i="1"/>
  <c r="C615" i="1"/>
  <c r="F615" i="1" l="1"/>
  <c r="G615" i="1" s="1"/>
  <c r="D615" i="1"/>
  <c r="Q615" i="1" l="1"/>
  <c r="R615" i="1" s="1"/>
  <c r="L615" i="1"/>
  <c r="M615" i="1" s="1"/>
  <c r="E615" i="1"/>
  <c r="P616" i="1" l="1"/>
  <c r="S616" i="1"/>
  <c r="N616" i="1"/>
  <c r="K616" i="1"/>
  <c r="T616" i="1" l="1"/>
  <c r="I616" i="1"/>
  <c r="C616" i="1"/>
  <c r="D616" i="1" l="1"/>
  <c r="F616" i="1"/>
  <c r="G616" i="1" s="1"/>
  <c r="L616" i="1" l="1"/>
  <c r="M616" i="1" s="1"/>
  <c r="Q616" i="1"/>
  <c r="R616" i="1" s="1"/>
  <c r="E616" i="1"/>
  <c r="K617" i="1" l="1"/>
  <c r="N617" i="1"/>
  <c r="P617" i="1"/>
  <c r="S617" i="1"/>
  <c r="T617" i="1" l="1"/>
  <c r="C617" i="1"/>
  <c r="I617" i="1"/>
  <c r="D617" i="1" l="1"/>
  <c r="F617" i="1"/>
  <c r="G617" i="1" s="1"/>
  <c r="L617" i="1" l="1"/>
  <c r="M617" i="1" s="1"/>
  <c r="Q617" i="1"/>
  <c r="R617" i="1" s="1"/>
  <c r="E617" i="1"/>
  <c r="K618" i="1" l="1"/>
  <c r="N618" i="1"/>
  <c r="S618" i="1"/>
  <c r="P618" i="1"/>
  <c r="T618" i="1" l="1"/>
  <c r="C618" i="1"/>
  <c r="I618" i="1"/>
  <c r="D618" i="1" l="1"/>
  <c r="F618" i="1"/>
  <c r="G618" i="1" s="1"/>
  <c r="Q618" i="1" l="1"/>
  <c r="R618" i="1" s="1"/>
  <c r="E618" i="1"/>
  <c r="L618" i="1"/>
  <c r="M618" i="1" s="1"/>
  <c r="P619" i="1" l="1"/>
  <c r="S619" i="1"/>
  <c r="K619" i="1"/>
  <c r="N619" i="1"/>
  <c r="T619" i="1" l="1"/>
  <c r="I619" i="1"/>
  <c r="C619" i="1"/>
  <c r="F619" i="1" l="1"/>
  <c r="G619" i="1" s="1"/>
  <c r="D619" i="1"/>
  <c r="L619" i="1" l="1"/>
  <c r="M619" i="1" s="1"/>
  <c r="Q619" i="1"/>
  <c r="R619" i="1" s="1"/>
  <c r="E619" i="1"/>
  <c r="N620" i="1" l="1"/>
  <c r="K620" i="1"/>
  <c r="P620" i="1"/>
  <c r="S620" i="1"/>
  <c r="T620" i="1" l="1"/>
  <c r="I620" i="1"/>
  <c r="C620" i="1"/>
  <c r="F620" i="1" l="1"/>
  <c r="G620" i="1" s="1"/>
  <c r="D620" i="1"/>
  <c r="L620" i="1" l="1"/>
  <c r="M620" i="1" s="1"/>
  <c r="Q620" i="1"/>
  <c r="R620" i="1" s="1"/>
  <c r="E620" i="1"/>
  <c r="N621" i="1" l="1"/>
  <c r="K621" i="1"/>
  <c r="P621" i="1"/>
  <c r="S621" i="1"/>
  <c r="T621" i="1" l="1"/>
  <c r="I621" i="1"/>
  <c r="C621" i="1"/>
  <c r="F621" i="1" l="1"/>
  <c r="G621" i="1" s="1"/>
  <c r="D621" i="1"/>
  <c r="L621" i="1" l="1"/>
  <c r="M621" i="1" s="1"/>
  <c r="Q621" i="1"/>
  <c r="R621" i="1" s="1"/>
  <c r="E621" i="1"/>
  <c r="K622" i="1" l="1"/>
  <c r="N622" i="1"/>
  <c r="S622" i="1"/>
  <c r="P622" i="1"/>
  <c r="T622" i="1" l="1"/>
  <c r="C622" i="1"/>
  <c r="I622" i="1"/>
  <c r="D622" i="1" l="1"/>
  <c r="F622" i="1"/>
  <c r="G622" i="1" s="1"/>
  <c r="Q622" i="1" l="1"/>
  <c r="R622" i="1" s="1"/>
  <c r="E622" i="1"/>
  <c r="L622" i="1"/>
  <c r="M622" i="1" s="1"/>
  <c r="S623" i="1" l="1"/>
  <c r="P623" i="1"/>
  <c r="N623" i="1"/>
  <c r="K623" i="1"/>
  <c r="T623" i="1" l="1"/>
  <c r="C623" i="1"/>
  <c r="I623" i="1"/>
  <c r="D623" i="1" l="1"/>
  <c r="F623" i="1"/>
  <c r="G623" i="1" s="1"/>
  <c r="E623" i="1" l="1"/>
  <c r="L623" i="1"/>
  <c r="M623" i="1" s="1"/>
  <c r="Q623" i="1"/>
  <c r="R623" i="1" s="1"/>
  <c r="P624" i="1" l="1"/>
  <c r="S624" i="1"/>
  <c r="K624" i="1"/>
  <c r="N624" i="1"/>
  <c r="T624" i="1" l="1"/>
  <c r="I624" i="1"/>
  <c r="C624" i="1"/>
  <c r="F624" i="1" l="1"/>
  <c r="G624" i="1" s="1"/>
  <c r="D624" i="1"/>
  <c r="L624" i="1" l="1"/>
  <c r="M624" i="1" s="1"/>
  <c r="Q624" i="1"/>
  <c r="R624" i="1" s="1"/>
  <c r="E624" i="1"/>
  <c r="N625" i="1" l="1"/>
  <c r="K625" i="1"/>
  <c r="P625" i="1"/>
  <c r="S625" i="1"/>
  <c r="T625" i="1" l="1"/>
  <c r="I625" i="1"/>
  <c r="C625" i="1"/>
  <c r="D625" i="1" l="1"/>
  <c r="F625" i="1"/>
  <c r="G625" i="1" s="1"/>
  <c r="L625" i="1" l="1"/>
  <c r="M625" i="1" s="1"/>
  <c r="Q625" i="1"/>
  <c r="R625" i="1" s="1"/>
  <c r="E625" i="1"/>
  <c r="K626" i="1" l="1"/>
  <c r="N626" i="1"/>
  <c r="S626" i="1"/>
  <c r="P626" i="1"/>
  <c r="T626" i="1" l="1"/>
  <c r="C626" i="1"/>
  <c r="I626" i="1"/>
  <c r="F626" i="1" l="1"/>
  <c r="G626" i="1" s="1"/>
  <c r="D626" i="1"/>
  <c r="L626" i="1" l="1"/>
  <c r="M626" i="1" s="1"/>
  <c r="Q626" i="1"/>
  <c r="R626" i="1" s="1"/>
  <c r="E626" i="1"/>
  <c r="N627" i="1" l="1"/>
  <c r="K627" i="1"/>
  <c r="S627" i="1"/>
  <c r="P627" i="1"/>
  <c r="T627" i="1" l="1"/>
  <c r="I627" i="1"/>
  <c r="C627" i="1"/>
  <c r="F627" i="1" l="1"/>
  <c r="G627" i="1" s="1"/>
  <c r="D627" i="1"/>
  <c r="L627" i="1" l="1"/>
  <c r="M627" i="1" s="1"/>
  <c r="Q627" i="1"/>
  <c r="R627" i="1" s="1"/>
  <c r="E627" i="1"/>
  <c r="K628" i="1" l="1"/>
  <c r="N628" i="1"/>
  <c r="P628" i="1"/>
  <c r="S628" i="1"/>
  <c r="T628" i="1" l="1"/>
  <c r="C628" i="1"/>
  <c r="I628" i="1"/>
  <c r="D628" i="1" l="1"/>
  <c r="F628" i="1"/>
  <c r="G628" i="1" s="1"/>
  <c r="L628" i="1" l="1"/>
  <c r="M628" i="1" s="1"/>
  <c r="Q628" i="1"/>
  <c r="R628" i="1" s="1"/>
  <c r="E628" i="1"/>
  <c r="K629" i="1" l="1"/>
  <c r="N629" i="1"/>
  <c r="S629" i="1"/>
  <c r="P629" i="1"/>
  <c r="T629" i="1" l="1"/>
  <c r="C629" i="1"/>
  <c r="I629" i="1"/>
  <c r="D629" i="1" l="1"/>
  <c r="F629" i="1"/>
  <c r="G629" i="1" s="1"/>
  <c r="E629" i="1" l="1"/>
  <c r="L629" i="1"/>
  <c r="M629" i="1" s="1"/>
  <c r="Q629" i="1"/>
  <c r="R629" i="1" s="1"/>
  <c r="S630" i="1" l="1"/>
  <c r="P630" i="1"/>
  <c r="N630" i="1"/>
  <c r="K630" i="1"/>
  <c r="T630" i="1" l="1"/>
  <c r="C630" i="1"/>
  <c r="I630" i="1"/>
  <c r="F630" i="1" l="1"/>
  <c r="G630" i="1" s="1"/>
  <c r="D630" i="1"/>
  <c r="Q630" i="1" l="1"/>
  <c r="R630" i="1" s="1"/>
  <c r="L630" i="1"/>
  <c r="M630" i="1" s="1"/>
  <c r="E630" i="1"/>
  <c r="P631" i="1" l="1"/>
  <c r="S631" i="1"/>
  <c r="K631" i="1"/>
  <c r="N631" i="1"/>
  <c r="T631" i="1" l="1"/>
  <c r="I631" i="1"/>
  <c r="C631" i="1"/>
  <c r="D631" i="1" l="1"/>
  <c r="F631" i="1"/>
  <c r="G631" i="1" s="1"/>
  <c r="Q631" i="1" l="1"/>
  <c r="R631" i="1" s="1"/>
  <c r="L631" i="1"/>
  <c r="M631" i="1" s="1"/>
  <c r="E631" i="1"/>
  <c r="P632" i="1" l="1"/>
  <c r="S632" i="1"/>
  <c r="N632" i="1"/>
  <c r="K632" i="1"/>
  <c r="T632" i="1" l="1"/>
  <c r="I632" i="1"/>
  <c r="C632" i="1"/>
  <c r="D632" i="1" l="1"/>
  <c r="F632" i="1"/>
  <c r="G632" i="1" s="1"/>
  <c r="L632" i="1" l="1"/>
  <c r="M632" i="1" s="1"/>
  <c r="E632" i="1"/>
  <c r="Q632" i="1"/>
  <c r="R632" i="1" s="1"/>
  <c r="N633" i="1" l="1"/>
  <c r="K633" i="1"/>
  <c r="S633" i="1"/>
  <c r="P633" i="1"/>
  <c r="T633" i="1" l="1"/>
  <c r="I633" i="1"/>
  <c r="C633" i="1"/>
  <c r="D633" i="1" l="1"/>
  <c r="F633" i="1"/>
  <c r="G633" i="1" s="1"/>
  <c r="L633" i="1" l="1"/>
  <c r="M633" i="1" s="1"/>
  <c r="E633" i="1"/>
  <c r="Q633" i="1"/>
  <c r="R633" i="1" s="1"/>
  <c r="K634" i="1" l="1"/>
  <c r="N634" i="1"/>
  <c r="P634" i="1"/>
  <c r="S634" i="1"/>
  <c r="T634" i="1" l="1"/>
  <c r="C634" i="1"/>
  <c r="I634" i="1"/>
  <c r="D634" i="1" l="1"/>
  <c r="F634" i="1"/>
  <c r="G634" i="1" s="1"/>
  <c r="Q634" i="1" l="1"/>
  <c r="R634" i="1" s="1"/>
  <c r="E634" i="1"/>
  <c r="L634" i="1"/>
  <c r="M634" i="1" s="1"/>
  <c r="S635" i="1" l="1"/>
  <c r="P635" i="1"/>
  <c r="K635" i="1"/>
  <c r="N635" i="1"/>
  <c r="T635" i="1" l="1"/>
  <c r="C635" i="1"/>
  <c r="I635" i="1"/>
  <c r="D635" i="1" l="1"/>
  <c r="F635" i="1"/>
  <c r="G635" i="1" s="1"/>
  <c r="L635" i="1" l="1"/>
  <c r="M635" i="1" s="1"/>
  <c r="E635" i="1"/>
  <c r="Q635" i="1"/>
  <c r="R635" i="1" s="1"/>
  <c r="N636" i="1" l="1"/>
  <c r="K636" i="1"/>
  <c r="P636" i="1"/>
  <c r="S636" i="1"/>
  <c r="T636" i="1" l="1"/>
  <c r="I636" i="1"/>
  <c r="C636" i="1"/>
  <c r="D636" i="1" l="1"/>
  <c r="F636" i="1"/>
  <c r="G636" i="1" s="1"/>
  <c r="L636" i="1" l="1"/>
  <c r="M636" i="1" s="1"/>
  <c r="Q636" i="1"/>
  <c r="R636" i="1" s="1"/>
  <c r="E636" i="1"/>
  <c r="K637" i="1" l="1"/>
  <c r="N637" i="1"/>
  <c r="S637" i="1"/>
  <c r="P637" i="1"/>
  <c r="T637" i="1" l="1"/>
  <c r="C637" i="1"/>
  <c r="I637" i="1"/>
  <c r="D637" i="1" l="1"/>
  <c r="F637" i="1"/>
  <c r="G637" i="1" s="1"/>
  <c r="L637" i="1" l="1"/>
  <c r="M637" i="1" s="1"/>
  <c r="Q637" i="1"/>
  <c r="R637" i="1" s="1"/>
  <c r="E637" i="1"/>
  <c r="N638" i="1" l="1"/>
  <c r="K638" i="1"/>
  <c r="S638" i="1"/>
  <c r="P638" i="1"/>
  <c r="T638" i="1" l="1"/>
  <c r="I638" i="1"/>
  <c r="C638" i="1"/>
  <c r="F638" i="1" l="1"/>
  <c r="G638" i="1" s="1"/>
  <c r="D638" i="1"/>
  <c r="Q638" i="1" l="1"/>
  <c r="R638" i="1" s="1"/>
  <c r="E638" i="1"/>
  <c r="L638" i="1"/>
  <c r="M638" i="1" s="1"/>
  <c r="P639" i="1" l="1"/>
  <c r="S639" i="1"/>
  <c r="K639" i="1"/>
  <c r="N639" i="1"/>
  <c r="T639" i="1" l="1"/>
  <c r="I639" i="1"/>
  <c r="C639" i="1"/>
  <c r="D639" i="1" l="1"/>
  <c r="F639" i="1"/>
  <c r="G639" i="1" s="1"/>
  <c r="L639" i="1" l="1"/>
  <c r="M639" i="1" s="1"/>
  <c r="Q639" i="1"/>
  <c r="R639" i="1" s="1"/>
  <c r="E639" i="1"/>
  <c r="N640" i="1" l="1"/>
  <c r="K640" i="1"/>
  <c r="P640" i="1"/>
  <c r="S640" i="1"/>
  <c r="T640" i="1" l="1"/>
  <c r="I640" i="1"/>
  <c r="C640" i="1"/>
  <c r="F640" i="1" l="1"/>
  <c r="G640" i="1" s="1"/>
  <c r="D640" i="1"/>
  <c r="L640" i="1" l="1"/>
  <c r="M640" i="1" s="1"/>
  <c r="E640" i="1"/>
  <c r="Q640" i="1"/>
  <c r="R640" i="1" s="1"/>
  <c r="N641" i="1" l="1"/>
  <c r="K641" i="1"/>
  <c r="P641" i="1"/>
  <c r="S641" i="1"/>
  <c r="T641" i="1" l="1"/>
  <c r="I641" i="1"/>
  <c r="C641" i="1"/>
  <c r="F641" i="1" l="1"/>
  <c r="G641" i="1" s="1"/>
  <c r="D641" i="1"/>
  <c r="L641" i="1" l="1"/>
  <c r="M641" i="1" s="1"/>
  <c r="E641" i="1"/>
  <c r="Q641" i="1"/>
  <c r="R641" i="1" s="1"/>
  <c r="N642" i="1" l="1"/>
  <c r="K642" i="1"/>
  <c r="P642" i="1"/>
  <c r="S642" i="1"/>
  <c r="T642" i="1" l="1"/>
  <c r="I642" i="1"/>
  <c r="C642" i="1"/>
  <c r="F642" i="1" l="1"/>
  <c r="G642" i="1" s="1"/>
  <c r="D642" i="1"/>
  <c r="Q642" i="1" l="1"/>
  <c r="R642" i="1" s="1"/>
  <c r="E642" i="1"/>
  <c r="L642" i="1"/>
  <c r="M642" i="1" s="1"/>
  <c r="S643" i="1" l="1"/>
  <c r="P643" i="1"/>
  <c r="K643" i="1"/>
  <c r="N643" i="1"/>
  <c r="T643" i="1" l="1"/>
  <c r="C643" i="1"/>
  <c r="I643" i="1"/>
  <c r="F643" i="1" l="1"/>
  <c r="G643" i="1" s="1"/>
  <c r="D643" i="1"/>
  <c r="L643" i="1" l="1"/>
  <c r="M643" i="1" s="1"/>
  <c r="Q643" i="1"/>
  <c r="R643" i="1" s="1"/>
  <c r="E643" i="1"/>
  <c r="N644" i="1" l="1"/>
  <c r="K644" i="1"/>
  <c r="P644" i="1"/>
  <c r="S644" i="1"/>
  <c r="T644" i="1" l="1"/>
  <c r="I644" i="1"/>
  <c r="C644" i="1"/>
  <c r="D644" i="1" l="1"/>
  <c r="F644" i="1"/>
  <c r="G644" i="1" s="1"/>
  <c r="L644" i="1" l="1"/>
  <c r="M644" i="1" s="1"/>
  <c r="Q644" i="1"/>
  <c r="R644" i="1" s="1"/>
  <c r="E644" i="1"/>
  <c r="K645" i="1" l="1"/>
  <c r="N645" i="1"/>
  <c r="S645" i="1"/>
  <c r="P645" i="1"/>
  <c r="T645" i="1" l="1"/>
  <c r="C645" i="1"/>
  <c r="I645" i="1"/>
  <c r="D645" i="1" l="1"/>
  <c r="F645" i="1"/>
  <c r="G645" i="1" s="1"/>
  <c r="L645" i="1" l="1"/>
  <c r="M645" i="1" s="1"/>
  <c r="Q645" i="1"/>
  <c r="R645" i="1" s="1"/>
  <c r="E645" i="1"/>
  <c r="N646" i="1" l="1"/>
  <c r="K646" i="1"/>
  <c r="S646" i="1"/>
  <c r="P646" i="1"/>
  <c r="T646" i="1" l="1"/>
  <c r="I646" i="1"/>
  <c r="C646" i="1"/>
  <c r="D646" i="1" l="1"/>
  <c r="F646" i="1"/>
  <c r="G646" i="1" s="1"/>
  <c r="Q646" i="1" l="1"/>
  <c r="R646" i="1" s="1"/>
  <c r="L646" i="1"/>
  <c r="M646" i="1" s="1"/>
  <c r="E646" i="1"/>
  <c r="P647" i="1" l="1"/>
  <c r="S647" i="1"/>
  <c r="K647" i="1"/>
  <c r="N647" i="1"/>
  <c r="T647" i="1" l="1"/>
  <c r="I647" i="1"/>
  <c r="C647" i="1"/>
  <c r="F647" i="1" l="1"/>
  <c r="G647" i="1" s="1"/>
  <c r="D647" i="1"/>
  <c r="Q647" i="1" l="1"/>
  <c r="R647" i="1" s="1"/>
  <c r="L647" i="1"/>
  <c r="M647" i="1" s="1"/>
  <c r="E647" i="1"/>
  <c r="P648" i="1" l="1"/>
  <c r="S648" i="1"/>
  <c r="N648" i="1"/>
  <c r="K648" i="1"/>
  <c r="T648" i="1" l="1"/>
  <c r="I648" i="1"/>
  <c r="C648" i="1"/>
  <c r="F648" i="1" l="1"/>
  <c r="G648" i="1" s="1"/>
  <c r="D648" i="1"/>
  <c r="L648" i="1" l="1"/>
  <c r="M648" i="1" s="1"/>
  <c r="Q648" i="1"/>
  <c r="R648" i="1" s="1"/>
  <c r="E648" i="1"/>
  <c r="K649" i="1" l="1"/>
  <c r="N649" i="1"/>
  <c r="P649" i="1"/>
  <c r="S649" i="1"/>
  <c r="T649" i="1" l="1"/>
  <c r="C649" i="1"/>
  <c r="I649" i="1"/>
  <c r="F649" i="1" l="1"/>
  <c r="G649" i="1" s="1"/>
  <c r="D649" i="1"/>
  <c r="L649" i="1" l="1"/>
  <c r="M649" i="1" s="1"/>
  <c r="Q649" i="1"/>
  <c r="R649" i="1" s="1"/>
  <c r="E649" i="1"/>
  <c r="K650" i="1" l="1"/>
  <c r="N650" i="1"/>
  <c r="S650" i="1"/>
  <c r="P650" i="1"/>
  <c r="T650" i="1" l="1"/>
  <c r="C650" i="1"/>
  <c r="I650" i="1"/>
  <c r="D650" i="1" l="1"/>
  <c r="F650" i="1"/>
  <c r="G650" i="1" s="1"/>
  <c r="Q650" i="1" l="1"/>
  <c r="R650" i="1" s="1"/>
  <c r="L650" i="1"/>
  <c r="M650" i="1" s="1"/>
  <c r="E650" i="1"/>
  <c r="S651" i="1" l="1"/>
  <c r="P651" i="1"/>
  <c r="N651" i="1"/>
  <c r="K651" i="1"/>
  <c r="T651" i="1" l="1"/>
  <c r="C651" i="1"/>
  <c r="I651" i="1"/>
  <c r="F651" i="1" l="1"/>
  <c r="G651" i="1" s="1"/>
  <c r="D651" i="1"/>
  <c r="L651" i="1" l="1"/>
  <c r="M651" i="1" s="1"/>
  <c r="Q651" i="1"/>
  <c r="R651" i="1" s="1"/>
  <c r="E651" i="1"/>
  <c r="K652" i="1" l="1"/>
  <c r="N652" i="1"/>
  <c r="P652" i="1"/>
  <c r="S652" i="1"/>
  <c r="T652" i="1" l="1"/>
  <c r="C652" i="1"/>
  <c r="I652" i="1"/>
  <c r="F652" i="1" l="1"/>
  <c r="G652" i="1" s="1"/>
  <c r="D652" i="1"/>
  <c r="L652" i="1" l="1"/>
  <c r="M652" i="1" s="1"/>
  <c r="Q652" i="1"/>
  <c r="R652" i="1" s="1"/>
  <c r="E652" i="1"/>
  <c r="K653" i="1" l="1"/>
  <c r="N653" i="1"/>
  <c r="S653" i="1"/>
  <c r="P653" i="1"/>
  <c r="T653" i="1" l="1"/>
  <c r="C653" i="1"/>
  <c r="I653" i="1"/>
  <c r="D653" i="1" l="1"/>
  <c r="F653" i="1"/>
  <c r="G653" i="1" s="1"/>
  <c r="L653" i="1" l="1"/>
  <c r="M653" i="1" s="1"/>
  <c r="Q653" i="1"/>
  <c r="R653" i="1" s="1"/>
  <c r="E653" i="1"/>
  <c r="K654" i="1" l="1"/>
  <c r="N654" i="1"/>
  <c r="P654" i="1"/>
  <c r="S654" i="1"/>
  <c r="T654" i="1" l="1"/>
  <c r="C654" i="1"/>
  <c r="I654" i="1"/>
  <c r="F654" i="1" l="1"/>
  <c r="G654" i="1" s="1"/>
  <c r="D654" i="1"/>
  <c r="Q654" i="1" l="1"/>
  <c r="R654" i="1" s="1"/>
  <c r="L654" i="1"/>
  <c r="M654" i="1" s="1"/>
  <c r="E654" i="1"/>
  <c r="S655" i="1" l="1"/>
  <c r="P655" i="1"/>
  <c r="K655" i="1"/>
  <c r="N655" i="1"/>
  <c r="T655" i="1" l="1"/>
  <c r="C655" i="1"/>
  <c r="I655" i="1"/>
  <c r="F655" i="1" l="1"/>
  <c r="G655" i="1" s="1"/>
  <c r="D655" i="1"/>
  <c r="L655" i="1" l="1"/>
  <c r="M655" i="1" s="1"/>
  <c r="Q655" i="1"/>
  <c r="R655" i="1" s="1"/>
  <c r="E655" i="1"/>
  <c r="N656" i="1" l="1"/>
  <c r="K656" i="1"/>
  <c r="P656" i="1"/>
  <c r="S656" i="1"/>
  <c r="T656" i="1" l="1"/>
  <c r="I656" i="1"/>
  <c r="C656" i="1"/>
  <c r="F656" i="1" l="1"/>
  <c r="G656" i="1" s="1"/>
  <c r="D656" i="1"/>
  <c r="L656" i="1" l="1"/>
  <c r="M656" i="1" s="1"/>
  <c r="Q656" i="1"/>
  <c r="R656" i="1" s="1"/>
  <c r="E656" i="1"/>
  <c r="K657" i="1" l="1"/>
  <c r="N657" i="1"/>
  <c r="S657" i="1"/>
  <c r="P657" i="1"/>
  <c r="T657" i="1" l="1"/>
  <c r="C657" i="1"/>
  <c r="I657" i="1"/>
  <c r="F657" i="1" l="1"/>
  <c r="G657" i="1" s="1"/>
  <c r="D657" i="1"/>
  <c r="L657" i="1" l="1"/>
  <c r="M657" i="1" s="1"/>
  <c r="E657" i="1"/>
  <c r="Q657" i="1"/>
  <c r="R657" i="1" s="1"/>
  <c r="K658" i="1" l="1"/>
  <c r="N658" i="1"/>
  <c r="P658" i="1"/>
  <c r="S658" i="1"/>
  <c r="T658" i="1" l="1"/>
  <c r="C658" i="1"/>
  <c r="I658" i="1"/>
  <c r="F658" i="1" l="1"/>
  <c r="G658" i="1" s="1"/>
  <c r="D658" i="1"/>
  <c r="Q658" i="1" l="1"/>
  <c r="R658" i="1" s="1"/>
  <c r="E658" i="1"/>
  <c r="L658" i="1"/>
  <c r="M658" i="1" s="1"/>
  <c r="S659" i="1" l="1"/>
  <c r="P659" i="1"/>
  <c r="K659" i="1"/>
  <c r="N659" i="1"/>
  <c r="T659" i="1" l="1"/>
  <c r="C659" i="1"/>
  <c r="I659" i="1"/>
  <c r="F659" i="1" l="1"/>
  <c r="G659" i="1" s="1"/>
  <c r="D659" i="1"/>
  <c r="L659" i="1" l="1"/>
  <c r="M659" i="1" s="1"/>
  <c r="Q659" i="1"/>
  <c r="R659" i="1" s="1"/>
  <c r="E659" i="1"/>
  <c r="N660" i="1" l="1"/>
  <c r="K660" i="1"/>
  <c r="P660" i="1"/>
  <c r="S660" i="1"/>
  <c r="T660" i="1" l="1"/>
  <c r="I660" i="1"/>
  <c r="C660" i="1"/>
  <c r="F660" i="1" l="1"/>
  <c r="G660" i="1" s="1"/>
  <c r="D660" i="1"/>
  <c r="L660" i="1" l="1"/>
  <c r="M660" i="1" s="1"/>
  <c r="Q660" i="1"/>
  <c r="R660" i="1" s="1"/>
  <c r="E660" i="1"/>
  <c r="K661" i="1" l="1"/>
  <c r="N661" i="1"/>
  <c r="S661" i="1"/>
  <c r="P661" i="1"/>
  <c r="T661" i="1" l="1"/>
  <c r="C661" i="1"/>
  <c r="I661" i="1"/>
  <c r="D661" i="1" l="1"/>
  <c r="F661" i="1"/>
  <c r="G661" i="1" s="1"/>
  <c r="L661" i="1" l="1"/>
  <c r="M661" i="1" s="1"/>
  <c r="Q661" i="1"/>
  <c r="R661" i="1" s="1"/>
  <c r="E661" i="1"/>
  <c r="K662" i="1" l="1"/>
  <c r="N662" i="1"/>
  <c r="P662" i="1"/>
  <c r="S662" i="1"/>
  <c r="T662" i="1" l="1"/>
  <c r="C662" i="1"/>
  <c r="I662" i="1"/>
  <c r="F662" i="1" l="1"/>
  <c r="G662" i="1" s="1"/>
  <c r="D662" i="1"/>
  <c r="E662" i="1" l="1"/>
  <c r="L662" i="1"/>
  <c r="M662" i="1" s="1"/>
  <c r="Q662" i="1"/>
  <c r="R662" i="1" s="1"/>
  <c r="S663" i="1" l="1"/>
  <c r="P663" i="1"/>
  <c r="K663" i="1"/>
  <c r="N663" i="1"/>
  <c r="T663" i="1" l="1"/>
  <c r="C663" i="1"/>
  <c r="I663" i="1"/>
  <c r="F663" i="1" l="1"/>
  <c r="G663" i="1" s="1"/>
  <c r="D663" i="1"/>
  <c r="Q663" i="1" l="1"/>
  <c r="R663" i="1" s="1"/>
  <c r="E663" i="1"/>
  <c r="L663" i="1"/>
  <c r="M663" i="1" s="1"/>
  <c r="P664" i="1" l="1"/>
  <c r="S664" i="1"/>
  <c r="N664" i="1"/>
  <c r="K664" i="1"/>
  <c r="T664" i="1" l="1"/>
  <c r="I664" i="1"/>
  <c r="C664" i="1"/>
  <c r="F664" i="1" l="1"/>
  <c r="G664" i="1" s="1"/>
  <c r="D664" i="1"/>
  <c r="L664" i="1" l="1"/>
  <c r="M664" i="1" s="1"/>
  <c r="Q664" i="1"/>
  <c r="R664" i="1" s="1"/>
  <c r="E664" i="1"/>
  <c r="K665" i="1" l="1"/>
  <c r="N665" i="1"/>
  <c r="P665" i="1"/>
  <c r="S665" i="1"/>
  <c r="T665" i="1" l="1"/>
  <c r="C665" i="1"/>
  <c r="I665" i="1"/>
  <c r="D665" i="1" l="1"/>
  <c r="F665" i="1"/>
  <c r="G665" i="1" s="1"/>
  <c r="L665" i="1" l="1"/>
  <c r="M665" i="1" s="1"/>
  <c r="Q665" i="1"/>
  <c r="R665" i="1" s="1"/>
  <c r="E665" i="1"/>
  <c r="K666" i="1" l="1"/>
  <c r="N666" i="1"/>
  <c r="S666" i="1"/>
  <c r="P666" i="1"/>
  <c r="T666" i="1" l="1"/>
  <c r="C666" i="1"/>
  <c r="I666" i="1"/>
  <c r="D666" i="1" l="1"/>
  <c r="F666" i="1"/>
  <c r="G666" i="1" s="1"/>
  <c r="L666" i="1" l="1"/>
  <c r="M666" i="1" s="1"/>
  <c r="Q666" i="1"/>
  <c r="R666" i="1" s="1"/>
  <c r="E666" i="1"/>
  <c r="N667" i="1" l="1"/>
  <c r="K667" i="1"/>
  <c r="S667" i="1"/>
  <c r="P667" i="1"/>
  <c r="T667" i="1" l="1"/>
  <c r="I667" i="1"/>
  <c r="C667" i="1"/>
  <c r="D667" i="1" l="1"/>
  <c r="F667" i="1"/>
  <c r="G667" i="1" s="1"/>
  <c r="L667" i="1" l="1"/>
  <c r="M667" i="1" s="1"/>
  <c r="E667" i="1"/>
  <c r="Q667" i="1"/>
  <c r="R667" i="1" s="1"/>
  <c r="K668" i="1" l="1"/>
  <c r="N668" i="1"/>
  <c r="P668" i="1"/>
  <c r="S668" i="1"/>
  <c r="T668" i="1" l="1"/>
  <c r="C668" i="1"/>
  <c r="I668" i="1"/>
  <c r="F668" i="1" l="1"/>
  <c r="G668" i="1" s="1"/>
  <c r="D668" i="1"/>
  <c r="L668" i="1" l="1"/>
  <c r="M668" i="1" s="1"/>
  <c r="Q668" i="1"/>
  <c r="R668" i="1" s="1"/>
  <c r="E668" i="1"/>
  <c r="K669" i="1" l="1"/>
  <c r="N669" i="1"/>
  <c r="S669" i="1"/>
  <c r="P669" i="1"/>
  <c r="T669" i="1" l="1"/>
  <c r="C669" i="1"/>
  <c r="I669" i="1"/>
  <c r="D669" i="1" l="1"/>
  <c r="F669" i="1"/>
  <c r="G669" i="1" s="1"/>
  <c r="L669" i="1" l="1"/>
  <c r="M669" i="1" s="1"/>
  <c r="Q669" i="1"/>
  <c r="R669" i="1" s="1"/>
  <c r="E669" i="1"/>
  <c r="K670" i="1" l="1"/>
  <c r="N670" i="1"/>
  <c r="P670" i="1"/>
  <c r="S670" i="1"/>
  <c r="T670" i="1" l="1"/>
  <c r="C670" i="1"/>
  <c r="I670" i="1"/>
  <c r="D670" i="1" l="1"/>
  <c r="F670" i="1"/>
  <c r="G670" i="1" s="1"/>
  <c r="Q670" i="1" l="1"/>
  <c r="R670" i="1" s="1"/>
  <c r="L670" i="1"/>
  <c r="M670" i="1" s="1"/>
  <c r="E670" i="1"/>
  <c r="S671" i="1" l="1"/>
  <c r="P671" i="1"/>
  <c r="K671" i="1"/>
  <c r="N671" i="1"/>
  <c r="T671" i="1" l="1"/>
  <c r="C671" i="1"/>
  <c r="I671" i="1"/>
  <c r="D671" i="1" l="1"/>
  <c r="F671" i="1"/>
  <c r="G671" i="1" s="1"/>
  <c r="L671" i="1" l="1"/>
  <c r="M671" i="1" s="1"/>
  <c r="Q671" i="1"/>
  <c r="R671" i="1" s="1"/>
  <c r="E671" i="1"/>
  <c r="N672" i="1" l="1"/>
  <c r="K672" i="1"/>
  <c r="P672" i="1"/>
  <c r="S672" i="1"/>
  <c r="T672" i="1" l="1"/>
  <c r="I672" i="1"/>
  <c r="C672" i="1"/>
  <c r="D672" i="1" l="1"/>
  <c r="F672" i="1"/>
  <c r="G672" i="1" s="1"/>
  <c r="L672" i="1" l="1"/>
  <c r="M672" i="1" s="1"/>
  <c r="Q672" i="1"/>
  <c r="R672" i="1" s="1"/>
  <c r="E672" i="1"/>
  <c r="K673" i="1" l="1"/>
  <c r="N673" i="1"/>
  <c r="S673" i="1"/>
  <c r="P673" i="1"/>
  <c r="T673" i="1" l="1"/>
  <c r="C673" i="1"/>
  <c r="I673" i="1"/>
  <c r="D673" i="1" l="1"/>
  <c r="F673" i="1"/>
  <c r="G673" i="1" s="1"/>
  <c r="Q673" i="1" l="1"/>
  <c r="R673" i="1" s="1"/>
  <c r="E673" i="1"/>
  <c r="L673" i="1"/>
  <c r="M673" i="1" s="1"/>
  <c r="S674" i="1" l="1"/>
  <c r="P674" i="1"/>
  <c r="N674" i="1"/>
  <c r="K674" i="1"/>
  <c r="T674" i="1" l="1"/>
  <c r="C674" i="1"/>
  <c r="I674" i="1"/>
  <c r="D674" i="1" l="1"/>
  <c r="F674" i="1"/>
  <c r="G674" i="1" s="1"/>
  <c r="Q674" i="1" l="1"/>
  <c r="R674" i="1" s="1"/>
  <c r="E674" i="1"/>
  <c r="L674" i="1"/>
  <c r="M674" i="1" s="1"/>
  <c r="P675" i="1" l="1"/>
  <c r="S675" i="1"/>
  <c r="K675" i="1"/>
  <c r="N675" i="1"/>
  <c r="T675" i="1" l="1"/>
  <c r="I675" i="1"/>
  <c r="C675" i="1"/>
  <c r="D675" i="1" l="1"/>
  <c r="F675" i="1"/>
  <c r="G675" i="1" s="1"/>
  <c r="Q675" i="1" l="1"/>
  <c r="R675" i="1" s="1"/>
  <c r="E675" i="1"/>
  <c r="L675" i="1"/>
  <c r="M675" i="1" s="1"/>
  <c r="P676" i="1" l="1"/>
  <c r="S676" i="1"/>
  <c r="N676" i="1"/>
  <c r="K676" i="1"/>
  <c r="T676" i="1" l="1"/>
  <c r="I676" i="1"/>
  <c r="C676" i="1"/>
  <c r="F676" i="1" l="1"/>
  <c r="G676" i="1" s="1"/>
  <c r="D676" i="1"/>
  <c r="Q676" i="1" l="1"/>
  <c r="R676" i="1" s="1"/>
  <c r="E676" i="1"/>
  <c r="L676" i="1"/>
  <c r="M676" i="1" s="1"/>
  <c r="S677" i="1" l="1"/>
  <c r="P677" i="1"/>
  <c r="N677" i="1"/>
  <c r="K677" i="1"/>
  <c r="T677" i="1" l="1"/>
  <c r="C677" i="1"/>
  <c r="I677" i="1"/>
  <c r="D677" i="1" l="1"/>
  <c r="F677" i="1"/>
  <c r="G677" i="1" s="1"/>
  <c r="Q677" i="1" l="1"/>
  <c r="R677" i="1" s="1"/>
  <c r="L677" i="1"/>
  <c r="M677" i="1" s="1"/>
  <c r="E677" i="1"/>
  <c r="P678" i="1" l="1"/>
  <c r="S678" i="1"/>
  <c r="K678" i="1"/>
  <c r="N678" i="1"/>
  <c r="T678" i="1" l="1"/>
  <c r="I678" i="1"/>
  <c r="C678" i="1"/>
  <c r="F678" i="1" l="1"/>
  <c r="G678" i="1" s="1"/>
  <c r="D678" i="1"/>
  <c r="L678" i="1" l="1"/>
  <c r="M678" i="1" s="1"/>
  <c r="Q678" i="1"/>
  <c r="R678" i="1" s="1"/>
  <c r="E678" i="1"/>
  <c r="N679" i="1" l="1"/>
  <c r="K679" i="1"/>
  <c r="P679" i="1"/>
  <c r="S679" i="1"/>
  <c r="T679" i="1" l="1"/>
  <c r="I679" i="1"/>
  <c r="C679" i="1"/>
  <c r="D679" i="1" l="1"/>
  <c r="F679" i="1"/>
  <c r="G679" i="1" s="1"/>
  <c r="L679" i="1" l="1"/>
  <c r="M679" i="1" s="1"/>
  <c r="Q679" i="1"/>
  <c r="R679" i="1" s="1"/>
  <c r="E679" i="1"/>
  <c r="N680" i="1" l="1"/>
  <c r="K680" i="1"/>
  <c r="P680" i="1"/>
  <c r="S680" i="1"/>
  <c r="T680" i="1" l="1"/>
  <c r="I680" i="1"/>
  <c r="C680" i="1"/>
  <c r="F680" i="1" l="1"/>
  <c r="G680" i="1" s="1"/>
  <c r="D680" i="1"/>
  <c r="Q680" i="1" l="1"/>
  <c r="R680" i="1" s="1"/>
  <c r="E680" i="1"/>
  <c r="L680" i="1"/>
  <c r="M680" i="1" s="1"/>
  <c r="S681" i="1" l="1"/>
  <c r="P681" i="1"/>
  <c r="K681" i="1"/>
  <c r="N681" i="1"/>
  <c r="T681" i="1" l="1"/>
  <c r="C681" i="1"/>
  <c r="I681" i="1"/>
  <c r="F681" i="1" l="1"/>
  <c r="G681" i="1" s="1"/>
  <c r="D681" i="1"/>
  <c r="L681" i="1" l="1"/>
  <c r="M681" i="1" s="1"/>
  <c r="Q681" i="1"/>
  <c r="R681" i="1" s="1"/>
  <c r="E681" i="1"/>
  <c r="N682" i="1" l="1"/>
  <c r="K682" i="1"/>
  <c r="P682" i="1"/>
  <c r="S682" i="1"/>
  <c r="T682" i="1" l="1"/>
  <c r="I682" i="1"/>
  <c r="C682" i="1"/>
  <c r="D682" i="1" l="1"/>
  <c r="F682" i="1"/>
  <c r="G682" i="1" s="1"/>
  <c r="L682" i="1" l="1"/>
  <c r="M682" i="1" s="1"/>
  <c r="Q682" i="1"/>
  <c r="R682" i="1" s="1"/>
  <c r="E682" i="1"/>
  <c r="K683" i="1" l="1"/>
  <c r="N683" i="1"/>
  <c r="S683" i="1"/>
  <c r="P683" i="1"/>
  <c r="T683" i="1" l="1"/>
  <c r="C683" i="1"/>
  <c r="I683" i="1"/>
  <c r="F683" i="1" l="1"/>
  <c r="G683" i="1" s="1"/>
  <c r="D683" i="1"/>
  <c r="Q683" i="1" l="1"/>
  <c r="R683" i="1" s="1"/>
  <c r="L683" i="1"/>
  <c r="M683" i="1" s="1"/>
  <c r="E683" i="1"/>
  <c r="S684" i="1" l="1"/>
  <c r="P684" i="1"/>
  <c r="N684" i="1"/>
  <c r="K684" i="1"/>
  <c r="T684" i="1" l="1"/>
  <c r="C684" i="1"/>
  <c r="I684" i="1"/>
  <c r="F684" i="1" l="1"/>
  <c r="G684" i="1" s="1"/>
  <c r="D684" i="1"/>
  <c r="Q684" i="1" l="1"/>
  <c r="R684" i="1" s="1"/>
  <c r="E684" i="1"/>
  <c r="L684" i="1"/>
  <c r="M684" i="1" s="1"/>
  <c r="P685" i="1" l="1"/>
  <c r="S685" i="1"/>
  <c r="K685" i="1"/>
  <c r="N685" i="1"/>
  <c r="T685" i="1" l="1"/>
  <c r="I685" i="1"/>
  <c r="C685" i="1"/>
  <c r="D685" i="1" l="1"/>
  <c r="F685" i="1"/>
  <c r="G685" i="1" s="1"/>
  <c r="Q685" i="1" l="1"/>
  <c r="R685" i="1" s="1"/>
  <c r="L685" i="1"/>
  <c r="M685" i="1" s="1"/>
  <c r="E685" i="1"/>
  <c r="P686" i="1" l="1"/>
  <c r="S686" i="1"/>
  <c r="N686" i="1"/>
  <c r="K686" i="1"/>
  <c r="T686" i="1" l="1"/>
  <c r="I686" i="1"/>
  <c r="C686" i="1"/>
  <c r="F686" i="1" l="1"/>
  <c r="G686" i="1" s="1"/>
  <c r="D686" i="1"/>
  <c r="Q686" i="1" l="1"/>
  <c r="R686" i="1" s="1"/>
  <c r="L686" i="1"/>
  <c r="M686" i="1" s="1"/>
  <c r="E686" i="1"/>
  <c r="S687" i="1" l="1"/>
  <c r="P687" i="1"/>
  <c r="N687" i="1"/>
  <c r="K687" i="1"/>
  <c r="T687" i="1" l="1"/>
  <c r="C687" i="1"/>
  <c r="I687" i="1"/>
  <c r="F687" i="1" l="1"/>
  <c r="G687" i="1" s="1"/>
  <c r="D687" i="1"/>
  <c r="L687" i="1" l="1"/>
  <c r="M687" i="1" s="1"/>
  <c r="E687" i="1"/>
  <c r="Q687" i="1"/>
  <c r="R687" i="1" s="1"/>
  <c r="K688" i="1" l="1"/>
  <c r="N688" i="1"/>
  <c r="P688" i="1"/>
  <c r="S688" i="1"/>
  <c r="T688" i="1" l="1"/>
  <c r="C688" i="1"/>
  <c r="I688" i="1"/>
  <c r="F688" i="1" l="1"/>
  <c r="G688" i="1" s="1"/>
  <c r="D688" i="1"/>
  <c r="Q688" i="1" l="1"/>
  <c r="R688" i="1" s="1"/>
  <c r="E688" i="1"/>
  <c r="L688" i="1"/>
  <c r="M688" i="1" s="1"/>
  <c r="S689" i="1" l="1"/>
  <c r="P689" i="1"/>
  <c r="K689" i="1"/>
  <c r="N689" i="1"/>
  <c r="T689" i="1" l="1"/>
  <c r="C689" i="1"/>
  <c r="I689" i="1"/>
  <c r="F689" i="1" l="1"/>
  <c r="G689" i="1" s="1"/>
  <c r="D689" i="1"/>
  <c r="L689" i="1" l="1"/>
  <c r="M689" i="1" s="1"/>
  <c r="Q689" i="1"/>
  <c r="R689" i="1" s="1"/>
  <c r="E689" i="1"/>
  <c r="N690" i="1" l="1"/>
  <c r="K690" i="1"/>
  <c r="P690" i="1"/>
  <c r="S690" i="1"/>
  <c r="T690" i="1" l="1"/>
  <c r="I690" i="1"/>
  <c r="C690" i="1"/>
  <c r="F690" i="1" l="1"/>
  <c r="G690" i="1" s="1"/>
  <c r="D690" i="1"/>
  <c r="L690" i="1" l="1"/>
  <c r="M690" i="1" s="1"/>
  <c r="Q690" i="1"/>
  <c r="R690" i="1" s="1"/>
  <c r="E690" i="1"/>
  <c r="K691" i="1" l="1"/>
  <c r="N691" i="1"/>
  <c r="S691" i="1"/>
  <c r="P691" i="1"/>
  <c r="T691" i="1" l="1"/>
  <c r="C691" i="1"/>
  <c r="I691" i="1"/>
  <c r="D691" i="1" l="1"/>
  <c r="F691" i="1"/>
  <c r="G691" i="1" s="1"/>
  <c r="Q691" i="1" l="1"/>
  <c r="R691" i="1" s="1"/>
  <c r="L691" i="1"/>
  <c r="M691" i="1" s="1"/>
  <c r="E691" i="1"/>
  <c r="P692" i="1" l="1"/>
  <c r="S692" i="1"/>
  <c r="K692" i="1"/>
  <c r="N692" i="1"/>
  <c r="T692" i="1" l="1"/>
  <c r="I692" i="1"/>
  <c r="C692" i="1"/>
  <c r="F692" i="1" l="1"/>
  <c r="G692" i="1" s="1"/>
  <c r="D692" i="1"/>
  <c r="Q692" i="1" l="1"/>
  <c r="R692" i="1" s="1"/>
  <c r="E692" i="1"/>
  <c r="L692" i="1"/>
  <c r="M692" i="1" s="1"/>
  <c r="P693" i="1" l="1"/>
  <c r="S693" i="1"/>
  <c r="N693" i="1"/>
  <c r="K693" i="1"/>
  <c r="T693" i="1" l="1"/>
  <c r="I693" i="1"/>
  <c r="C693" i="1"/>
  <c r="F693" i="1" l="1"/>
  <c r="G693" i="1" s="1"/>
  <c r="D693" i="1"/>
  <c r="Q693" i="1" l="1"/>
  <c r="R693" i="1" s="1"/>
  <c r="L693" i="1"/>
  <c r="M693" i="1" s="1"/>
  <c r="E693" i="1"/>
  <c r="S694" i="1" l="1"/>
  <c r="P694" i="1"/>
  <c r="N694" i="1"/>
  <c r="K694" i="1"/>
  <c r="T694" i="1" l="1"/>
  <c r="C694" i="1"/>
  <c r="I694" i="1"/>
  <c r="F694" i="1" l="1"/>
  <c r="G694" i="1" s="1"/>
  <c r="D694" i="1"/>
  <c r="Q694" i="1" l="1"/>
  <c r="R694" i="1" s="1"/>
  <c r="E694" i="1"/>
  <c r="L694" i="1"/>
  <c r="M694" i="1" s="1"/>
  <c r="P695" i="1" l="1"/>
  <c r="S695" i="1"/>
  <c r="K695" i="1"/>
  <c r="N695" i="1"/>
  <c r="T695" i="1" l="1"/>
  <c r="I695" i="1"/>
  <c r="C695" i="1"/>
  <c r="D695" i="1" l="1"/>
  <c r="F695" i="1"/>
  <c r="G695" i="1" s="1"/>
  <c r="L695" i="1" l="1"/>
  <c r="M695" i="1" s="1"/>
  <c r="Q695" i="1"/>
  <c r="R695" i="1" s="1"/>
  <c r="E695" i="1"/>
  <c r="N696" i="1" l="1"/>
  <c r="K696" i="1"/>
  <c r="P696" i="1"/>
  <c r="S696" i="1"/>
  <c r="T696" i="1" l="1"/>
  <c r="I696" i="1"/>
  <c r="C696" i="1"/>
  <c r="F696" i="1" l="1"/>
  <c r="G696" i="1" s="1"/>
  <c r="D696" i="1"/>
  <c r="Q696" i="1" l="1"/>
  <c r="R696" i="1" s="1"/>
  <c r="L696" i="1"/>
  <c r="M696" i="1" s="1"/>
  <c r="E696" i="1"/>
  <c r="S697" i="1" l="1"/>
  <c r="P697" i="1"/>
  <c r="K697" i="1"/>
  <c r="N697" i="1"/>
  <c r="T697" i="1" l="1"/>
  <c r="C697" i="1"/>
  <c r="I697" i="1"/>
  <c r="F697" i="1" l="1"/>
  <c r="G697" i="1" s="1"/>
  <c r="D697" i="1"/>
  <c r="L697" i="1" l="1"/>
  <c r="M697" i="1" s="1"/>
  <c r="E697" i="1"/>
  <c r="Q697" i="1"/>
  <c r="R697" i="1" s="1"/>
  <c r="N698" i="1" l="1"/>
  <c r="K698" i="1"/>
  <c r="P698" i="1"/>
  <c r="S698" i="1"/>
  <c r="T698" i="1" l="1"/>
  <c r="I698" i="1"/>
  <c r="C698" i="1"/>
  <c r="D698" i="1" l="1"/>
  <c r="F698" i="1"/>
  <c r="G698" i="1" s="1"/>
  <c r="L698" i="1" l="1"/>
  <c r="M698" i="1" s="1"/>
  <c r="Q698" i="1"/>
  <c r="R698" i="1" s="1"/>
  <c r="E698" i="1"/>
  <c r="K699" i="1" l="1"/>
  <c r="N699" i="1"/>
  <c r="S699" i="1"/>
  <c r="P699" i="1"/>
  <c r="T699" i="1" l="1"/>
  <c r="C699" i="1"/>
  <c r="I699" i="1"/>
  <c r="F699" i="1" l="1"/>
  <c r="G699" i="1" s="1"/>
  <c r="D699" i="1"/>
  <c r="E699" i="1" l="1"/>
  <c r="Q699" i="1"/>
  <c r="R699" i="1" s="1"/>
  <c r="L699" i="1"/>
  <c r="M699" i="1" s="1"/>
  <c r="K700" i="1" l="1"/>
  <c r="N700" i="1"/>
  <c r="P700" i="1"/>
  <c r="S700" i="1"/>
  <c r="T700" i="1" l="1"/>
  <c r="C700" i="1"/>
  <c r="I700" i="1"/>
  <c r="D700" i="1" l="1"/>
  <c r="F700" i="1"/>
  <c r="G700" i="1" s="1"/>
  <c r="L700" i="1" l="1"/>
  <c r="M700" i="1" s="1"/>
  <c r="Q700" i="1"/>
  <c r="R700" i="1" s="1"/>
  <c r="E700" i="1"/>
  <c r="K701" i="1" l="1"/>
  <c r="N701" i="1"/>
  <c r="S701" i="1"/>
  <c r="P701" i="1"/>
  <c r="T701" i="1" l="1"/>
  <c r="C701" i="1"/>
  <c r="I701" i="1"/>
  <c r="D701" i="1" l="1"/>
  <c r="F701" i="1"/>
  <c r="G701" i="1" s="1"/>
  <c r="E701" i="1" l="1"/>
  <c r="Q701" i="1"/>
  <c r="R701" i="1" s="1"/>
  <c r="L701" i="1"/>
  <c r="M701" i="1" s="1"/>
  <c r="N702" i="1" l="1"/>
  <c r="K702" i="1"/>
  <c r="S702" i="1"/>
  <c r="P702" i="1"/>
  <c r="T702" i="1" l="1"/>
  <c r="I702" i="1"/>
  <c r="C702" i="1"/>
  <c r="F702" i="1" l="1"/>
  <c r="G702" i="1" s="1"/>
  <c r="D702" i="1"/>
  <c r="Q702" i="1" l="1"/>
  <c r="R702" i="1" s="1"/>
  <c r="E702" i="1"/>
  <c r="L702" i="1"/>
  <c r="M702" i="1" s="1"/>
  <c r="P703" i="1" l="1"/>
  <c r="S703" i="1"/>
  <c r="K703" i="1"/>
  <c r="N703" i="1"/>
  <c r="T703" i="1" l="1"/>
  <c r="I703" i="1"/>
  <c r="C703" i="1"/>
  <c r="F703" i="1" l="1"/>
  <c r="G703" i="1" s="1"/>
  <c r="D703" i="1"/>
  <c r="E703" i="1" l="1"/>
  <c r="Q703" i="1"/>
  <c r="R703" i="1" s="1"/>
  <c r="L703" i="1"/>
  <c r="M703" i="1" s="1"/>
  <c r="N704" i="1" l="1"/>
  <c r="K704" i="1"/>
  <c r="P704" i="1"/>
  <c r="S704" i="1"/>
  <c r="T704" i="1" l="1"/>
  <c r="I704" i="1"/>
  <c r="C704" i="1"/>
  <c r="F704" i="1" l="1"/>
  <c r="G704" i="1" s="1"/>
  <c r="D704" i="1"/>
  <c r="Q704" i="1" l="1"/>
  <c r="R704" i="1" s="1"/>
  <c r="L704" i="1"/>
  <c r="M704" i="1" s="1"/>
  <c r="E704" i="1"/>
  <c r="S705" i="1" l="1"/>
  <c r="P705" i="1"/>
  <c r="K705" i="1"/>
  <c r="N705" i="1"/>
  <c r="T705" i="1" l="1"/>
  <c r="C705" i="1"/>
  <c r="I705" i="1"/>
  <c r="D705" i="1" l="1"/>
  <c r="F705" i="1"/>
  <c r="G705" i="1" s="1"/>
  <c r="L705" i="1" l="1"/>
  <c r="M705" i="1" s="1"/>
  <c r="Q705" i="1"/>
  <c r="R705" i="1" s="1"/>
  <c r="E705" i="1"/>
  <c r="N706" i="1" l="1"/>
  <c r="K706" i="1"/>
  <c r="P706" i="1"/>
  <c r="S706" i="1"/>
  <c r="T706" i="1" l="1"/>
  <c r="I706" i="1"/>
  <c r="C706" i="1"/>
  <c r="F706" i="1" l="1"/>
  <c r="G706" i="1" s="1"/>
  <c r="D706" i="1"/>
  <c r="L706" i="1" l="1"/>
  <c r="M706" i="1" s="1"/>
  <c r="Q706" i="1"/>
  <c r="R706" i="1" s="1"/>
  <c r="E706" i="1"/>
  <c r="K707" i="1" l="1"/>
  <c r="N707" i="1"/>
  <c r="S707" i="1"/>
  <c r="P707" i="1"/>
  <c r="T707" i="1" l="1"/>
  <c r="C707" i="1"/>
  <c r="I707" i="1"/>
  <c r="D707" i="1" l="1"/>
  <c r="F707" i="1"/>
  <c r="G707" i="1" s="1"/>
  <c r="Q707" i="1" l="1"/>
  <c r="R707" i="1" s="1"/>
  <c r="L707" i="1"/>
  <c r="M707" i="1" s="1"/>
  <c r="E707" i="1"/>
  <c r="S708" i="1" l="1"/>
  <c r="P708" i="1"/>
  <c r="N708" i="1"/>
  <c r="K708" i="1"/>
  <c r="T708" i="1" l="1"/>
  <c r="C708" i="1"/>
  <c r="I708" i="1"/>
  <c r="F708" i="1" l="1"/>
  <c r="G708" i="1" s="1"/>
  <c r="D708" i="1"/>
  <c r="L708" i="1" l="1"/>
  <c r="M708" i="1" s="1"/>
  <c r="Q708" i="1"/>
  <c r="R708" i="1" s="1"/>
  <c r="E708" i="1"/>
  <c r="K709" i="1" l="1"/>
  <c r="N709" i="1"/>
  <c r="P709" i="1"/>
  <c r="S709" i="1"/>
  <c r="T709" i="1" l="1"/>
  <c r="C709" i="1"/>
  <c r="I709" i="1"/>
  <c r="F709" i="1" l="1"/>
  <c r="G709" i="1" s="1"/>
  <c r="D709" i="1"/>
  <c r="E709" i="1" l="1"/>
  <c r="L709" i="1"/>
  <c r="M709" i="1" s="1"/>
  <c r="Q709" i="1"/>
  <c r="R709" i="1" s="1"/>
  <c r="S710" i="1" l="1"/>
  <c r="P710" i="1"/>
  <c r="K710" i="1"/>
  <c r="N710" i="1"/>
  <c r="T710" i="1" l="1"/>
  <c r="C710" i="1"/>
  <c r="I710" i="1"/>
  <c r="D710" i="1" l="1"/>
  <c r="F710" i="1"/>
  <c r="G710" i="1" s="1"/>
  <c r="E710" i="1" l="1"/>
  <c r="L710" i="1"/>
  <c r="M710" i="1" s="1"/>
  <c r="Q710" i="1"/>
  <c r="R710" i="1" s="1"/>
  <c r="P711" i="1" l="1"/>
  <c r="S711" i="1"/>
  <c r="N711" i="1"/>
  <c r="K711" i="1"/>
  <c r="T711" i="1" l="1"/>
  <c r="I711" i="1"/>
  <c r="C711" i="1"/>
  <c r="D711" i="1" l="1"/>
  <c r="F711" i="1"/>
  <c r="G711" i="1" s="1"/>
  <c r="L711" i="1" l="1"/>
  <c r="M711" i="1" s="1"/>
  <c r="Q711" i="1"/>
  <c r="R711" i="1" s="1"/>
  <c r="E711" i="1"/>
  <c r="K712" i="1" l="1"/>
  <c r="N712" i="1"/>
  <c r="P712" i="1"/>
  <c r="S712" i="1"/>
  <c r="T712" i="1" l="1"/>
  <c r="C712" i="1"/>
  <c r="I712" i="1"/>
  <c r="F712" i="1" l="1"/>
  <c r="G712" i="1" s="1"/>
  <c r="D712" i="1"/>
  <c r="E712" i="1" l="1"/>
  <c r="L712" i="1"/>
  <c r="M712" i="1" s="1"/>
  <c r="Q712" i="1"/>
  <c r="R712" i="1" s="1"/>
  <c r="S713" i="1" l="1"/>
  <c r="P713" i="1"/>
  <c r="K713" i="1"/>
  <c r="N713" i="1"/>
  <c r="T713" i="1" l="1"/>
  <c r="C713" i="1"/>
  <c r="I713" i="1"/>
  <c r="F713" i="1" l="1"/>
  <c r="G713" i="1" s="1"/>
  <c r="D713" i="1"/>
  <c r="E713" i="1" l="1"/>
  <c r="L713" i="1"/>
  <c r="M713" i="1" s="1"/>
  <c r="Q713" i="1"/>
  <c r="R713" i="1" s="1"/>
  <c r="S714" i="1" l="1"/>
  <c r="P714" i="1"/>
  <c r="K714" i="1"/>
  <c r="N714" i="1"/>
  <c r="T714" i="1" l="1"/>
  <c r="C714" i="1"/>
  <c r="I714" i="1"/>
  <c r="D714" i="1" l="1"/>
  <c r="F714" i="1"/>
  <c r="G714" i="1" s="1"/>
  <c r="E714" i="1" l="1"/>
  <c r="Q714" i="1"/>
  <c r="R714" i="1" s="1"/>
  <c r="L714" i="1"/>
  <c r="M714" i="1" s="1"/>
  <c r="K715" i="1" l="1"/>
  <c r="N715" i="1"/>
  <c r="S715" i="1"/>
  <c r="P715" i="1"/>
  <c r="T715" i="1" l="1"/>
  <c r="C715" i="1"/>
  <c r="I715" i="1"/>
  <c r="F715" i="1" l="1"/>
  <c r="G715" i="1" s="1"/>
  <c r="D715" i="1"/>
  <c r="L715" i="1" l="1"/>
  <c r="M715" i="1" s="1"/>
  <c r="Q715" i="1"/>
  <c r="R715" i="1" s="1"/>
  <c r="E715" i="1"/>
  <c r="N716" i="1" l="1"/>
  <c r="K716" i="1"/>
  <c r="S716" i="1"/>
  <c r="P716" i="1"/>
  <c r="T716" i="1" l="1"/>
  <c r="I716" i="1"/>
  <c r="C716" i="1"/>
  <c r="D716" i="1" l="1"/>
  <c r="F716" i="1"/>
  <c r="G716" i="1" s="1"/>
  <c r="L716" i="1" l="1"/>
  <c r="M716" i="1" s="1"/>
  <c r="Q716" i="1"/>
  <c r="R716" i="1" s="1"/>
  <c r="E716" i="1"/>
  <c r="K717" i="1" l="1"/>
  <c r="N717" i="1"/>
  <c r="P717" i="1"/>
  <c r="S717" i="1"/>
  <c r="T717" i="1" l="1"/>
  <c r="C717" i="1"/>
  <c r="I717" i="1"/>
  <c r="F717" i="1" l="1"/>
  <c r="G717" i="1" s="1"/>
  <c r="D717" i="1"/>
  <c r="L717" i="1" l="1"/>
  <c r="M717" i="1" s="1"/>
  <c r="Q717" i="1"/>
  <c r="R717" i="1" s="1"/>
  <c r="E717" i="1"/>
  <c r="K718" i="1" l="1"/>
  <c r="N718" i="1"/>
  <c r="S718" i="1"/>
  <c r="P718" i="1"/>
  <c r="T718" i="1" l="1"/>
  <c r="C718" i="1"/>
  <c r="I718" i="1"/>
  <c r="D718" i="1" l="1"/>
  <c r="F718" i="1"/>
  <c r="G718" i="1" s="1"/>
  <c r="L718" i="1" l="1"/>
  <c r="M718" i="1" s="1"/>
  <c r="Q718" i="1"/>
  <c r="R718" i="1" s="1"/>
  <c r="E718" i="1"/>
  <c r="K719" i="1" l="1"/>
  <c r="N719" i="1"/>
  <c r="P719" i="1"/>
  <c r="S719" i="1"/>
  <c r="T719" i="1" l="1"/>
  <c r="C719" i="1"/>
  <c r="I719" i="1"/>
  <c r="D719" i="1" l="1"/>
  <c r="F719" i="1"/>
  <c r="G719" i="1" s="1"/>
  <c r="Q719" i="1" l="1"/>
  <c r="R719" i="1" s="1"/>
  <c r="L719" i="1"/>
  <c r="M719" i="1" s="1"/>
  <c r="E719" i="1"/>
  <c r="S720" i="1" l="1"/>
  <c r="P720" i="1"/>
  <c r="K720" i="1"/>
  <c r="N720" i="1"/>
  <c r="T720" i="1" l="1"/>
  <c r="C720" i="1"/>
  <c r="I720" i="1"/>
  <c r="F720" i="1" l="1"/>
  <c r="G720" i="1" s="1"/>
  <c r="D720" i="1"/>
  <c r="Q720" i="1" l="1"/>
  <c r="R720" i="1" s="1"/>
  <c r="L720" i="1"/>
  <c r="M720" i="1" s="1"/>
  <c r="E720" i="1"/>
  <c r="P721" i="1" l="1"/>
  <c r="S721" i="1"/>
  <c r="N721" i="1"/>
  <c r="K721" i="1"/>
  <c r="T721" i="1" l="1"/>
  <c r="I721" i="1"/>
  <c r="C721" i="1"/>
  <c r="F721" i="1" l="1"/>
  <c r="G721" i="1" s="1"/>
  <c r="D721" i="1"/>
  <c r="L721" i="1" l="1"/>
  <c r="M721" i="1" s="1"/>
  <c r="Q721" i="1"/>
  <c r="R721" i="1" s="1"/>
  <c r="E721" i="1"/>
  <c r="N722" i="1" l="1"/>
  <c r="K722" i="1"/>
  <c r="S722" i="1"/>
  <c r="P722" i="1"/>
  <c r="T722" i="1" l="1"/>
  <c r="I722" i="1"/>
  <c r="C722" i="1"/>
  <c r="D722" i="1" l="1"/>
  <c r="F722" i="1"/>
  <c r="G722" i="1" s="1"/>
  <c r="L722" i="1" l="1"/>
  <c r="M722" i="1" s="1"/>
  <c r="Q722" i="1"/>
  <c r="R722" i="1" s="1"/>
  <c r="E722" i="1"/>
  <c r="K723" i="1" l="1"/>
  <c r="N723" i="1"/>
  <c r="P723" i="1"/>
  <c r="S723" i="1"/>
  <c r="T723" i="1" l="1"/>
  <c r="C723" i="1"/>
  <c r="I723" i="1"/>
  <c r="D723" i="1" l="1"/>
  <c r="F723" i="1"/>
  <c r="G723" i="1" s="1"/>
  <c r="Q723" i="1" l="1"/>
  <c r="R723" i="1" s="1"/>
  <c r="E723" i="1"/>
  <c r="L723" i="1"/>
  <c r="M723" i="1" s="1"/>
  <c r="S724" i="1" l="1"/>
  <c r="P724" i="1"/>
  <c r="K724" i="1"/>
  <c r="N724" i="1"/>
  <c r="T724" i="1" l="1"/>
  <c r="C724" i="1"/>
  <c r="I724" i="1"/>
  <c r="F724" i="1" l="1"/>
  <c r="G724" i="1" s="1"/>
  <c r="D724" i="1"/>
  <c r="L724" i="1" l="1"/>
  <c r="M724" i="1" s="1"/>
  <c r="Q724" i="1"/>
  <c r="R724" i="1" s="1"/>
  <c r="E724" i="1"/>
  <c r="N725" i="1" l="1"/>
  <c r="K725" i="1"/>
  <c r="P725" i="1"/>
  <c r="S725" i="1"/>
  <c r="T725" i="1" l="1"/>
  <c r="I725" i="1"/>
  <c r="C725" i="1"/>
  <c r="F725" i="1" l="1"/>
  <c r="G725" i="1" s="1"/>
  <c r="D725" i="1"/>
  <c r="L725" i="1" l="1"/>
  <c r="M725" i="1" s="1"/>
  <c r="Q725" i="1"/>
  <c r="R725" i="1" s="1"/>
  <c r="E725" i="1"/>
  <c r="K726" i="1" l="1"/>
  <c r="N726" i="1"/>
  <c r="S726" i="1"/>
  <c r="P726" i="1"/>
  <c r="T726" i="1" l="1"/>
  <c r="C726" i="1"/>
  <c r="I726" i="1"/>
  <c r="D726" i="1" l="1"/>
  <c r="F726" i="1"/>
  <c r="G726" i="1" s="1"/>
  <c r="L726" i="1" l="1"/>
  <c r="M726" i="1" s="1"/>
  <c r="Q726" i="1"/>
  <c r="R726" i="1" s="1"/>
  <c r="E726" i="1"/>
  <c r="N727" i="1" l="1"/>
  <c r="K727" i="1"/>
  <c r="S727" i="1"/>
  <c r="P727" i="1"/>
  <c r="T727" i="1" l="1"/>
  <c r="I727" i="1"/>
  <c r="C727" i="1"/>
  <c r="D727" i="1" l="1"/>
  <c r="F727" i="1"/>
  <c r="G727" i="1" s="1"/>
  <c r="E727" i="1" l="1"/>
  <c r="L727" i="1"/>
  <c r="M727" i="1" s="1"/>
  <c r="Q727" i="1"/>
  <c r="R727" i="1" s="1"/>
  <c r="P728" i="1" l="1"/>
  <c r="S728" i="1"/>
  <c r="K728" i="1"/>
  <c r="N728" i="1"/>
  <c r="T728" i="1" l="1"/>
  <c r="I728" i="1"/>
  <c r="C728" i="1"/>
  <c r="F728" i="1" l="1"/>
  <c r="G728" i="1" s="1"/>
  <c r="D728" i="1"/>
  <c r="L728" i="1" l="1"/>
  <c r="M728" i="1" s="1"/>
  <c r="Q728" i="1"/>
  <c r="R728" i="1" s="1"/>
  <c r="E728" i="1"/>
  <c r="N729" i="1" l="1"/>
  <c r="K729" i="1"/>
  <c r="P729" i="1"/>
  <c r="S729" i="1"/>
  <c r="T729" i="1" l="1"/>
  <c r="I729" i="1"/>
  <c r="C729" i="1"/>
  <c r="F729" i="1" l="1"/>
  <c r="G729" i="1" s="1"/>
  <c r="D729" i="1"/>
  <c r="L729" i="1" l="1"/>
  <c r="M729" i="1" s="1"/>
  <c r="E729" i="1"/>
  <c r="Q729" i="1"/>
  <c r="R729" i="1" s="1"/>
  <c r="N730" i="1" l="1"/>
  <c r="K730" i="1"/>
  <c r="P730" i="1"/>
  <c r="S730" i="1"/>
  <c r="T730" i="1" l="1"/>
  <c r="I730" i="1"/>
  <c r="C730" i="1"/>
  <c r="D730" i="1" l="1"/>
  <c r="F730" i="1"/>
  <c r="G730" i="1" s="1"/>
  <c r="L730" i="1" l="1"/>
  <c r="M730" i="1" s="1"/>
  <c r="Q730" i="1"/>
  <c r="R730" i="1" s="1"/>
  <c r="E730" i="1"/>
  <c r="K731" i="1" l="1"/>
  <c r="N731" i="1"/>
  <c r="S731" i="1"/>
  <c r="P731" i="1"/>
  <c r="T731" i="1" l="1"/>
  <c r="C731" i="1"/>
  <c r="I731" i="1"/>
  <c r="F731" i="1" l="1"/>
  <c r="G731" i="1" s="1"/>
  <c r="D731" i="1"/>
  <c r="Q731" i="1" l="1"/>
  <c r="R731" i="1" s="1"/>
  <c r="E731" i="1"/>
  <c r="L731" i="1"/>
  <c r="M731" i="1" s="1"/>
  <c r="S732" i="1" l="1"/>
  <c r="P732" i="1"/>
  <c r="N732" i="1"/>
  <c r="K732" i="1"/>
  <c r="T732" i="1" l="1"/>
  <c r="C732" i="1"/>
  <c r="I732" i="1"/>
  <c r="F732" i="1" l="1"/>
  <c r="G732" i="1" s="1"/>
  <c r="D732" i="1"/>
  <c r="L732" i="1" l="1"/>
  <c r="M732" i="1" s="1"/>
  <c r="Q732" i="1"/>
  <c r="R732" i="1" s="1"/>
  <c r="E732" i="1"/>
  <c r="K733" i="1" l="1"/>
  <c r="N733" i="1"/>
  <c r="P733" i="1"/>
  <c r="S733" i="1"/>
  <c r="T733" i="1" l="1"/>
  <c r="C733" i="1"/>
  <c r="I733" i="1"/>
  <c r="F733" i="1" l="1"/>
  <c r="G733" i="1" s="1"/>
  <c r="D733" i="1"/>
  <c r="L733" i="1" l="1"/>
  <c r="M733" i="1" s="1"/>
  <c r="Q733" i="1"/>
  <c r="R733" i="1" s="1"/>
  <c r="E733" i="1"/>
  <c r="K734" i="1" l="1"/>
  <c r="N734" i="1"/>
  <c r="S734" i="1"/>
  <c r="P734" i="1"/>
  <c r="T734" i="1" l="1"/>
  <c r="C734" i="1"/>
  <c r="I734" i="1"/>
  <c r="F734" i="1" l="1"/>
  <c r="G734" i="1" s="1"/>
  <c r="D734" i="1"/>
  <c r="L734" i="1" l="1"/>
  <c r="M734" i="1" s="1"/>
  <c r="Q734" i="1"/>
  <c r="R734" i="1" s="1"/>
  <c r="E734" i="1"/>
  <c r="K735" i="1" l="1"/>
  <c r="N735" i="1"/>
  <c r="P735" i="1"/>
  <c r="S735" i="1"/>
  <c r="T735" i="1" l="1"/>
  <c r="C735" i="1"/>
  <c r="I735" i="1"/>
  <c r="D735" i="1" l="1"/>
  <c r="F735" i="1"/>
  <c r="G735" i="1" s="1"/>
  <c r="Q735" i="1" l="1"/>
  <c r="R735" i="1" s="1"/>
  <c r="E735" i="1"/>
  <c r="L735" i="1"/>
  <c r="M735" i="1" s="1"/>
  <c r="S736" i="1" l="1"/>
  <c r="P736" i="1"/>
  <c r="K736" i="1"/>
  <c r="N736" i="1"/>
  <c r="T736" i="1" l="1"/>
  <c r="C736" i="1"/>
  <c r="I736" i="1"/>
  <c r="F736" i="1" l="1"/>
  <c r="G736" i="1" s="1"/>
  <c r="D736" i="1"/>
  <c r="Q736" i="1" l="1"/>
  <c r="R736" i="1" s="1"/>
  <c r="E736" i="1"/>
  <c r="L736" i="1"/>
  <c r="M736" i="1" s="1"/>
  <c r="P737" i="1" l="1"/>
  <c r="S737" i="1"/>
  <c r="N737" i="1"/>
  <c r="K737" i="1"/>
  <c r="T737" i="1" l="1"/>
  <c r="I737" i="1"/>
  <c r="C737" i="1"/>
  <c r="F737" i="1" l="1"/>
  <c r="G737" i="1" s="1"/>
  <c r="D737" i="1"/>
  <c r="L737" i="1" l="1"/>
  <c r="M737" i="1" s="1"/>
  <c r="Q737" i="1"/>
  <c r="R737" i="1" s="1"/>
  <c r="E737" i="1"/>
  <c r="N738" i="1" l="1"/>
  <c r="K738" i="1"/>
  <c r="S738" i="1"/>
  <c r="P738" i="1"/>
  <c r="T738" i="1" l="1"/>
  <c r="I738" i="1"/>
  <c r="C738" i="1"/>
  <c r="D738" i="1" l="1"/>
  <c r="F738" i="1"/>
  <c r="G738" i="1" s="1"/>
  <c r="L738" i="1" l="1"/>
  <c r="M738" i="1" s="1"/>
  <c r="Q738" i="1"/>
  <c r="R738" i="1" s="1"/>
  <c r="E738" i="1"/>
  <c r="K739" i="1" l="1"/>
  <c r="N739" i="1"/>
  <c r="P739" i="1"/>
  <c r="S739" i="1"/>
  <c r="T739" i="1" l="1"/>
  <c r="C739" i="1"/>
  <c r="I739" i="1"/>
  <c r="D739" i="1" l="1"/>
  <c r="F739" i="1"/>
  <c r="G739" i="1" s="1"/>
  <c r="Q739" i="1" l="1"/>
  <c r="R739" i="1" s="1"/>
  <c r="E739" i="1"/>
  <c r="L739" i="1"/>
  <c r="M739" i="1" s="1"/>
  <c r="S740" i="1" l="1"/>
  <c r="P740" i="1"/>
  <c r="K740" i="1"/>
  <c r="N740" i="1"/>
  <c r="T740" i="1" l="1"/>
  <c r="C740" i="1"/>
  <c r="I740" i="1"/>
  <c r="F740" i="1" l="1"/>
  <c r="G740" i="1" s="1"/>
  <c r="D740" i="1"/>
  <c r="L740" i="1" l="1"/>
  <c r="M740" i="1" s="1"/>
  <c r="Q740" i="1"/>
  <c r="R740" i="1" s="1"/>
  <c r="E740" i="1"/>
  <c r="N741" i="1" l="1"/>
  <c r="K741" i="1"/>
  <c r="P741" i="1"/>
  <c r="S741" i="1"/>
  <c r="T741" i="1" l="1"/>
  <c r="I741" i="1"/>
  <c r="C741" i="1"/>
  <c r="F741" i="1" l="1"/>
  <c r="G741" i="1" s="1"/>
  <c r="D741" i="1"/>
  <c r="L741" i="1" l="1"/>
  <c r="M741" i="1" s="1"/>
  <c r="Q741" i="1"/>
  <c r="R741" i="1" s="1"/>
  <c r="E741" i="1"/>
  <c r="N742" i="1" l="1"/>
  <c r="K742" i="1"/>
  <c r="P742" i="1"/>
  <c r="S742" i="1"/>
  <c r="T742" i="1" l="1"/>
  <c r="I742" i="1"/>
  <c r="C742" i="1"/>
  <c r="D742" i="1" l="1"/>
  <c r="F742" i="1"/>
  <c r="G742" i="1" s="1"/>
  <c r="L742" i="1" l="1"/>
  <c r="M742" i="1" s="1"/>
  <c r="Q742" i="1"/>
  <c r="R742" i="1" s="1"/>
  <c r="E742" i="1"/>
  <c r="K743" i="1" l="1"/>
  <c r="N743" i="1"/>
  <c r="S743" i="1"/>
  <c r="P743" i="1"/>
  <c r="T743" i="1" l="1"/>
  <c r="C743" i="1"/>
  <c r="I743" i="1"/>
  <c r="D743" i="1" l="1"/>
  <c r="F743" i="1"/>
  <c r="G743" i="1" s="1"/>
  <c r="L743" i="1" l="1"/>
  <c r="M743" i="1" s="1"/>
  <c r="Q743" i="1"/>
  <c r="R743" i="1" s="1"/>
  <c r="E743" i="1"/>
  <c r="N744" i="1" l="1"/>
  <c r="K744" i="1"/>
  <c r="S744" i="1"/>
  <c r="P744" i="1"/>
  <c r="T744" i="1" l="1"/>
  <c r="I744" i="1"/>
  <c r="C744" i="1"/>
  <c r="F744" i="1" l="1"/>
  <c r="G744" i="1" s="1"/>
  <c r="D744" i="1"/>
  <c r="L744" i="1" l="1"/>
  <c r="M744" i="1" s="1"/>
  <c r="Q744" i="1"/>
  <c r="R744" i="1" s="1"/>
  <c r="E744" i="1"/>
  <c r="K745" i="1" l="1"/>
  <c r="N745" i="1"/>
  <c r="P745" i="1"/>
  <c r="S745" i="1"/>
  <c r="T745" i="1" l="1"/>
  <c r="C745" i="1"/>
  <c r="I745" i="1"/>
  <c r="F745" i="1" l="1"/>
  <c r="G745" i="1" s="1"/>
  <c r="D745" i="1"/>
  <c r="L745" i="1" l="1"/>
  <c r="M745" i="1" s="1"/>
  <c r="Q745" i="1"/>
  <c r="R745" i="1" s="1"/>
  <c r="E745" i="1"/>
  <c r="K746" i="1" l="1"/>
  <c r="N746" i="1"/>
  <c r="S746" i="1"/>
  <c r="P746" i="1"/>
  <c r="T746" i="1" l="1"/>
  <c r="C746" i="1"/>
  <c r="I746" i="1"/>
  <c r="D746" i="1" l="1"/>
  <c r="F746" i="1"/>
  <c r="G746" i="1" s="1"/>
  <c r="L746" i="1" l="1"/>
  <c r="M746" i="1" s="1"/>
  <c r="Q746" i="1"/>
  <c r="R746" i="1" s="1"/>
  <c r="E746" i="1"/>
  <c r="N747" i="1" l="1"/>
  <c r="K747" i="1"/>
  <c r="S747" i="1"/>
  <c r="P747" i="1"/>
  <c r="T747" i="1" l="1"/>
  <c r="I747" i="1"/>
  <c r="C747" i="1"/>
  <c r="D747" i="1" l="1"/>
  <c r="F747" i="1"/>
  <c r="G747" i="1" s="1"/>
  <c r="Q747" i="1" l="1"/>
  <c r="R747" i="1" s="1"/>
  <c r="E747" i="1"/>
  <c r="L747" i="1"/>
  <c r="M747" i="1" s="1"/>
  <c r="P748" i="1" l="1"/>
  <c r="S748" i="1"/>
  <c r="K748" i="1"/>
  <c r="N748" i="1"/>
  <c r="T748" i="1" l="1"/>
  <c r="I748" i="1"/>
  <c r="C748" i="1"/>
  <c r="D748" i="1" l="1"/>
  <c r="F748" i="1"/>
  <c r="G748" i="1" s="1"/>
  <c r="L748" i="1" l="1"/>
  <c r="M748" i="1" s="1"/>
  <c r="Q748" i="1"/>
  <c r="R748" i="1" s="1"/>
  <c r="E748" i="1"/>
  <c r="N749" i="1" l="1"/>
  <c r="K749" i="1"/>
  <c r="P749" i="1"/>
  <c r="S749" i="1"/>
  <c r="T749" i="1" l="1"/>
  <c r="I749" i="1"/>
  <c r="C749" i="1"/>
  <c r="F749" i="1" l="1"/>
  <c r="G749" i="1" s="1"/>
  <c r="D749" i="1"/>
  <c r="L749" i="1" l="1"/>
  <c r="M749" i="1" s="1"/>
  <c r="E749" i="1"/>
  <c r="Q749" i="1"/>
  <c r="R749" i="1" s="1"/>
  <c r="K750" i="1" l="1"/>
  <c r="N750" i="1"/>
  <c r="S750" i="1"/>
  <c r="P750" i="1"/>
  <c r="T750" i="1" l="1"/>
  <c r="C750" i="1"/>
  <c r="I750" i="1"/>
  <c r="F750" i="1" l="1"/>
  <c r="G750" i="1" s="1"/>
  <c r="D750" i="1"/>
  <c r="L750" i="1" l="1"/>
  <c r="M750" i="1" s="1"/>
  <c r="Q750" i="1"/>
  <c r="R750" i="1" s="1"/>
  <c r="E750" i="1"/>
  <c r="K751" i="1" l="1"/>
  <c r="N751" i="1"/>
  <c r="P751" i="1"/>
  <c r="S751" i="1"/>
  <c r="T751" i="1" l="1"/>
  <c r="C751" i="1"/>
  <c r="I751" i="1"/>
  <c r="D751" i="1" l="1"/>
  <c r="F751" i="1"/>
  <c r="G751" i="1" s="1"/>
  <c r="Q751" i="1" l="1"/>
  <c r="R751" i="1" s="1"/>
  <c r="E751" i="1"/>
  <c r="L751" i="1"/>
  <c r="M751" i="1" s="1"/>
  <c r="S752" i="1" l="1"/>
  <c r="P752" i="1"/>
  <c r="K752" i="1"/>
  <c r="N752" i="1"/>
  <c r="T752" i="1" l="1"/>
  <c r="C752" i="1"/>
  <c r="I752" i="1"/>
  <c r="D752" i="1" l="1"/>
  <c r="F752" i="1"/>
  <c r="G752" i="1" s="1"/>
  <c r="Q752" i="1" l="1"/>
  <c r="R752" i="1" s="1"/>
  <c r="L752" i="1"/>
  <c r="M752" i="1" s="1"/>
  <c r="E752" i="1"/>
  <c r="P753" i="1" l="1"/>
  <c r="S753" i="1"/>
  <c r="N753" i="1"/>
  <c r="K753" i="1"/>
  <c r="T753" i="1" l="1"/>
  <c r="I753" i="1"/>
  <c r="C753" i="1"/>
  <c r="F753" i="1" l="1"/>
  <c r="G753" i="1" s="1"/>
  <c r="D753" i="1"/>
  <c r="L753" i="1" l="1"/>
  <c r="M753" i="1" s="1"/>
  <c r="Q753" i="1"/>
  <c r="R753" i="1" s="1"/>
  <c r="E753" i="1"/>
  <c r="N754" i="1" l="1"/>
  <c r="K754" i="1"/>
  <c r="S754" i="1"/>
  <c r="P754" i="1"/>
  <c r="T754" i="1" l="1"/>
  <c r="I754" i="1"/>
  <c r="C754" i="1"/>
  <c r="D754" i="1" l="1"/>
  <c r="F754" i="1"/>
  <c r="G754" i="1" s="1"/>
  <c r="L754" i="1" l="1"/>
  <c r="M754" i="1" s="1"/>
  <c r="Q754" i="1"/>
  <c r="R754" i="1" s="1"/>
  <c r="E754" i="1"/>
  <c r="K755" i="1" l="1"/>
  <c r="N755" i="1"/>
  <c r="P755" i="1"/>
  <c r="S755" i="1"/>
  <c r="T755" i="1" l="1"/>
  <c r="C755" i="1"/>
  <c r="I755" i="1"/>
  <c r="D755" i="1" l="1"/>
  <c r="F755" i="1"/>
  <c r="G755" i="1" s="1"/>
  <c r="Q755" i="1" l="1"/>
  <c r="R755" i="1" s="1"/>
  <c r="E755" i="1"/>
  <c r="L755" i="1"/>
  <c r="M755" i="1" s="1"/>
  <c r="S756" i="1" l="1"/>
  <c r="P756" i="1"/>
  <c r="K756" i="1"/>
  <c r="N756" i="1"/>
  <c r="T756" i="1" l="1"/>
  <c r="C756" i="1"/>
  <c r="I756" i="1"/>
  <c r="D756" i="1" l="1"/>
  <c r="F756" i="1"/>
  <c r="G756" i="1" s="1"/>
  <c r="L756" i="1" l="1"/>
  <c r="M756" i="1" s="1"/>
  <c r="Q756" i="1"/>
  <c r="R756" i="1" s="1"/>
  <c r="E756" i="1"/>
  <c r="N757" i="1" l="1"/>
  <c r="K757" i="1"/>
  <c r="P757" i="1"/>
  <c r="S757" i="1"/>
  <c r="T757" i="1" l="1"/>
  <c r="I757" i="1"/>
  <c r="C757" i="1"/>
  <c r="D757" i="1" l="1"/>
  <c r="F757" i="1"/>
  <c r="G757" i="1" s="1"/>
  <c r="L757" i="1" l="1"/>
  <c r="M757" i="1" s="1"/>
  <c r="Q757" i="1"/>
  <c r="R757" i="1" s="1"/>
  <c r="E757" i="1"/>
  <c r="K758" i="1" l="1"/>
  <c r="N758" i="1"/>
  <c r="S758" i="1"/>
  <c r="P758" i="1"/>
  <c r="T758" i="1" l="1"/>
  <c r="C758" i="1"/>
  <c r="I758" i="1"/>
  <c r="F758" i="1" l="1"/>
  <c r="G758" i="1" s="1"/>
  <c r="D758" i="1"/>
  <c r="L758" i="1" l="1"/>
  <c r="M758" i="1" s="1"/>
  <c r="Q758" i="1"/>
  <c r="R758" i="1" s="1"/>
  <c r="E758" i="1"/>
  <c r="N759" i="1" l="1"/>
  <c r="K759" i="1"/>
  <c r="S759" i="1"/>
  <c r="P759" i="1"/>
  <c r="T759" i="1" l="1"/>
  <c r="I759" i="1"/>
  <c r="C759" i="1"/>
  <c r="D759" i="1" l="1"/>
  <c r="F759" i="1"/>
  <c r="G759" i="1" s="1"/>
  <c r="L759" i="1" l="1"/>
  <c r="M759" i="1" s="1"/>
  <c r="Q759" i="1"/>
  <c r="R759" i="1" s="1"/>
  <c r="E759" i="1"/>
  <c r="P760" i="1" l="1"/>
  <c r="S760" i="1"/>
  <c r="K760" i="1"/>
  <c r="N760" i="1"/>
  <c r="T760" i="1" l="1"/>
  <c r="C760" i="1"/>
  <c r="I760" i="1"/>
  <c r="D760" i="1" l="1"/>
  <c r="F760" i="1"/>
  <c r="G760" i="1" s="1"/>
  <c r="L760" i="1" l="1"/>
  <c r="M760" i="1" s="1"/>
  <c r="Q760" i="1"/>
  <c r="R760" i="1" s="1"/>
  <c r="E760" i="1"/>
  <c r="K761" i="1" l="1"/>
  <c r="N761" i="1"/>
  <c r="S761" i="1"/>
  <c r="P761" i="1"/>
  <c r="T761" i="1" l="1"/>
  <c r="C761" i="1"/>
  <c r="I761" i="1"/>
  <c r="F761" i="1" l="1"/>
  <c r="G761" i="1" s="1"/>
  <c r="D761" i="1"/>
  <c r="L761" i="1" l="1"/>
  <c r="M761" i="1" s="1"/>
  <c r="Q761" i="1"/>
  <c r="R761" i="1" s="1"/>
  <c r="E761" i="1"/>
  <c r="P762" i="1" l="1"/>
  <c r="S762" i="1"/>
  <c r="K762" i="1"/>
  <c r="N762" i="1"/>
  <c r="T762" i="1" l="1"/>
  <c r="C762" i="1"/>
  <c r="I762" i="1"/>
  <c r="D762" i="1" l="1"/>
  <c r="F762" i="1"/>
  <c r="G762" i="1" s="1"/>
  <c r="L762" i="1" l="1"/>
  <c r="M762" i="1" s="1"/>
  <c r="Q762" i="1"/>
  <c r="R762" i="1" s="1"/>
  <c r="E762" i="1"/>
  <c r="P763" i="1" l="1"/>
  <c r="S763" i="1"/>
  <c r="K763" i="1"/>
  <c r="N763" i="1"/>
  <c r="T763" i="1" l="1"/>
  <c r="I763" i="1"/>
  <c r="C763" i="1"/>
  <c r="D763" i="1" l="1"/>
  <c r="F763" i="1"/>
  <c r="G763" i="1" s="1"/>
  <c r="Q763" i="1" l="1"/>
  <c r="R763" i="1" s="1"/>
  <c r="E763" i="1"/>
  <c r="L763" i="1"/>
  <c r="M763" i="1" s="1"/>
  <c r="P764" i="1" l="1"/>
  <c r="S764" i="1"/>
  <c r="N764" i="1"/>
  <c r="K764" i="1"/>
  <c r="T764" i="1" l="1"/>
  <c r="C764" i="1"/>
  <c r="I764" i="1"/>
  <c r="D764" i="1" l="1"/>
  <c r="F764" i="1"/>
  <c r="G764" i="1" s="1"/>
  <c r="L764" i="1" l="1"/>
  <c r="M764" i="1" s="1"/>
  <c r="Q764" i="1"/>
  <c r="R764" i="1" s="1"/>
  <c r="E764" i="1"/>
  <c r="K765" i="1" l="1"/>
  <c r="N765" i="1"/>
  <c r="P765" i="1"/>
  <c r="S765" i="1"/>
  <c r="T765" i="1" l="1"/>
  <c r="C765" i="1"/>
  <c r="I765" i="1"/>
  <c r="D765" i="1" l="1"/>
  <c r="F765" i="1"/>
  <c r="G765" i="1" s="1"/>
  <c r="L765" i="1" l="1"/>
  <c r="M765" i="1" s="1"/>
  <c r="Q765" i="1"/>
  <c r="R765" i="1" s="1"/>
  <c r="E765" i="1"/>
  <c r="K766" i="1" l="1"/>
  <c r="N766" i="1"/>
  <c r="S766" i="1"/>
  <c r="P766" i="1"/>
  <c r="T766" i="1" l="1"/>
  <c r="C766" i="1"/>
  <c r="I766" i="1"/>
  <c r="D766" i="1" l="1"/>
  <c r="F766" i="1"/>
  <c r="G766" i="1" s="1"/>
  <c r="E766" i="1" l="1"/>
  <c r="L766" i="1"/>
  <c r="M766" i="1" s="1"/>
  <c r="Q766" i="1"/>
  <c r="R766" i="1" s="1"/>
  <c r="P767" i="1" l="1"/>
  <c r="S767" i="1"/>
  <c r="K767" i="1"/>
  <c r="N767" i="1"/>
  <c r="T767" i="1" l="1"/>
  <c r="I767" i="1"/>
  <c r="C767" i="1"/>
  <c r="F767" i="1" l="1"/>
  <c r="G767" i="1" s="1"/>
  <c r="D767" i="1"/>
  <c r="Q767" i="1" l="1"/>
  <c r="R767" i="1" s="1"/>
  <c r="E767" i="1"/>
  <c r="L767" i="1"/>
  <c r="M767" i="1" s="1"/>
  <c r="P768" i="1" l="1"/>
  <c r="S768" i="1"/>
  <c r="N768" i="1"/>
  <c r="K768" i="1"/>
  <c r="T768" i="1" l="1"/>
  <c r="I768" i="1"/>
  <c r="C768" i="1"/>
  <c r="F768" i="1" l="1"/>
  <c r="G768" i="1" s="1"/>
  <c r="D768" i="1"/>
  <c r="Q768" i="1" l="1"/>
  <c r="R768" i="1" s="1"/>
  <c r="L768" i="1"/>
  <c r="M768" i="1" s="1"/>
  <c r="E768" i="1"/>
  <c r="S769" i="1" l="1"/>
  <c r="P769" i="1"/>
  <c r="N769" i="1"/>
  <c r="K769" i="1"/>
  <c r="T769" i="1" l="1"/>
  <c r="C769" i="1"/>
  <c r="I769" i="1"/>
  <c r="D769" i="1" l="1"/>
  <c r="F769" i="1"/>
  <c r="G769" i="1" s="1"/>
  <c r="L769" i="1" l="1"/>
  <c r="M769" i="1" s="1"/>
  <c r="Q769" i="1"/>
  <c r="R769" i="1" s="1"/>
  <c r="E769" i="1"/>
  <c r="K770" i="1" l="1"/>
  <c r="N770" i="1"/>
  <c r="P770" i="1"/>
  <c r="S770" i="1"/>
  <c r="T770" i="1" l="1"/>
  <c r="C770" i="1"/>
  <c r="I770" i="1"/>
  <c r="D770" i="1" l="1"/>
  <c r="F770" i="1"/>
  <c r="G770" i="1" s="1"/>
  <c r="L770" i="1" l="1"/>
  <c r="M770" i="1" s="1"/>
  <c r="Q770" i="1"/>
  <c r="R770" i="1" s="1"/>
  <c r="E770" i="1"/>
  <c r="K771" i="1" l="1"/>
  <c r="N771" i="1"/>
  <c r="S771" i="1"/>
  <c r="P771" i="1"/>
  <c r="T771" i="1" l="1"/>
  <c r="C771" i="1"/>
  <c r="I771" i="1"/>
  <c r="D771" i="1" l="1"/>
  <c r="F771" i="1"/>
  <c r="G771" i="1" s="1"/>
  <c r="Q771" i="1" l="1"/>
  <c r="R771" i="1" s="1"/>
  <c r="E771" i="1"/>
  <c r="L771" i="1"/>
  <c r="M771" i="1" s="1"/>
  <c r="P772" i="1" l="1"/>
  <c r="S772" i="1"/>
  <c r="K772" i="1"/>
  <c r="N772" i="1"/>
  <c r="T772" i="1" l="1"/>
  <c r="I772" i="1"/>
  <c r="C772" i="1"/>
  <c r="F772" i="1" l="1"/>
  <c r="G772" i="1" s="1"/>
  <c r="D772" i="1"/>
  <c r="L772" i="1" l="1"/>
  <c r="M772" i="1" s="1"/>
  <c r="Q772" i="1"/>
  <c r="R772" i="1" s="1"/>
  <c r="E772" i="1"/>
  <c r="N773" i="1" l="1"/>
  <c r="K773" i="1"/>
  <c r="P773" i="1"/>
  <c r="S773" i="1"/>
  <c r="T773" i="1" l="1"/>
  <c r="I773" i="1"/>
  <c r="C773" i="1"/>
  <c r="D773" i="1" l="1"/>
  <c r="F773" i="1"/>
  <c r="G773" i="1" s="1"/>
  <c r="L773" i="1" l="1"/>
  <c r="M773" i="1" s="1"/>
  <c r="E773" i="1"/>
  <c r="Q773" i="1"/>
  <c r="R773" i="1" s="1"/>
  <c r="N774" i="1" l="1"/>
  <c r="K774" i="1"/>
  <c r="P774" i="1"/>
  <c r="S774" i="1"/>
  <c r="T774" i="1" l="1"/>
  <c r="I774" i="1"/>
  <c r="C774" i="1"/>
  <c r="D774" i="1" l="1"/>
  <c r="F774" i="1"/>
  <c r="G774" i="1" s="1"/>
  <c r="L774" i="1" l="1"/>
  <c r="M774" i="1" s="1"/>
  <c r="E774" i="1"/>
  <c r="Q774" i="1"/>
  <c r="R774" i="1" s="1"/>
  <c r="N775" i="1" l="1"/>
  <c r="K775" i="1"/>
  <c r="P775" i="1"/>
  <c r="S775" i="1"/>
  <c r="T775" i="1" l="1"/>
  <c r="I775" i="1"/>
  <c r="C775" i="1"/>
  <c r="D775" i="1" l="1"/>
  <c r="F775" i="1"/>
  <c r="G775" i="1" s="1"/>
  <c r="L775" i="1" l="1"/>
  <c r="M775" i="1" s="1"/>
  <c r="Q775" i="1"/>
  <c r="R775" i="1" s="1"/>
  <c r="E775" i="1"/>
  <c r="N776" i="1" l="1"/>
  <c r="K776" i="1"/>
  <c r="P776" i="1"/>
  <c r="S776" i="1"/>
  <c r="T776" i="1" l="1"/>
  <c r="I776" i="1"/>
  <c r="C776" i="1"/>
  <c r="F776" i="1" l="1"/>
  <c r="G776" i="1" s="1"/>
  <c r="D776" i="1"/>
  <c r="L776" i="1" l="1"/>
  <c r="M776" i="1" s="1"/>
  <c r="Q776" i="1"/>
  <c r="R776" i="1" s="1"/>
  <c r="E776" i="1"/>
  <c r="N777" i="1" l="1"/>
  <c r="K777" i="1"/>
  <c r="P777" i="1"/>
  <c r="S777" i="1"/>
  <c r="T777" i="1" l="1"/>
  <c r="I777" i="1"/>
  <c r="C777" i="1"/>
  <c r="F777" i="1" l="1"/>
  <c r="G777" i="1" s="1"/>
  <c r="D777" i="1"/>
  <c r="L777" i="1" l="1"/>
  <c r="M777" i="1" s="1"/>
  <c r="Q777" i="1"/>
  <c r="R777" i="1" s="1"/>
  <c r="E777" i="1"/>
  <c r="N778" i="1" l="1"/>
  <c r="K778" i="1"/>
  <c r="P778" i="1"/>
  <c r="S778" i="1"/>
  <c r="T778" i="1" l="1"/>
  <c r="I778" i="1"/>
  <c r="C778" i="1"/>
  <c r="F778" i="1" l="1"/>
  <c r="G778" i="1" s="1"/>
  <c r="D778" i="1"/>
  <c r="E778" i="1" l="1"/>
  <c r="L778" i="1"/>
  <c r="M778" i="1" s="1"/>
  <c r="Q778" i="1"/>
  <c r="R778" i="1" s="1"/>
  <c r="P779" i="1" l="1"/>
  <c r="S779" i="1"/>
  <c r="N779" i="1"/>
  <c r="K779" i="1"/>
  <c r="T779" i="1" l="1"/>
  <c r="I779" i="1"/>
  <c r="C779" i="1"/>
  <c r="D779" i="1" l="1"/>
  <c r="F779" i="1"/>
  <c r="G779" i="1" s="1"/>
  <c r="Q779" i="1" l="1"/>
  <c r="R779" i="1" s="1"/>
  <c r="E779" i="1"/>
  <c r="L779" i="1"/>
  <c r="M779" i="1" s="1"/>
  <c r="S780" i="1" l="1"/>
  <c r="P780" i="1"/>
  <c r="N780" i="1"/>
  <c r="K780" i="1"/>
  <c r="T780" i="1" l="1"/>
  <c r="C780" i="1"/>
  <c r="I780" i="1"/>
  <c r="F780" i="1" l="1"/>
  <c r="G780" i="1" s="1"/>
  <c r="D780" i="1"/>
  <c r="L780" i="1" l="1"/>
  <c r="M780" i="1" s="1"/>
  <c r="Q780" i="1"/>
  <c r="R780" i="1" s="1"/>
  <c r="E780" i="1"/>
  <c r="K781" i="1" l="1"/>
  <c r="N781" i="1"/>
  <c r="P781" i="1"/>
  <c r="S781" i="1"/>
  <c r="T781" i="1" l="1"/>
  <c r="I781" i="1"/>
  <c r="C781" i="1"/>
  <c r="F781" i="1" l="1"/>
  <c r="G781" i="1" s="1"/>
  <c r="D781" i="1"/>
  <c r="L781" i="1" l="1"/>
  <c r="M781" i="1" s="1"/>
  <c r="Q781" i="1"/>
  <c r="R781" i="1" s="1"/>
  <c r="E781" i="1"/>
  <c r="N782" i="1" l="1"/>
  <c r="K782" i="1"/>
  <c r="P782" i="1"/>
  <c r="S782" i="1"/>
  <c r="T782" i="1" l="1"/>
  <c r="I782" i="1"/>
  <c r="C782" i="1"/>
  <c r="D782" i="1" l="1"/>
  <c r="F782" i="1"/>
  <c r="G782" i="1" s="1"/>
  <c r="L782" i="1" l="1"/>
  <c r="M782" i="1" s="1"/>
  <c r="E782" i="1"/>
  <c r="Q782" i="1"/>
  <c r="R782" i="1" s="1"/>
  <c r="N783" i="1" l="1"/>
  <c r="K783" i="1"/>
  <c r="P783" i="1"/>
  <c r="S783" i="1"/>
  <c r="T783" i="1" l="1"/>
  <c r="I783" i="1"/>
  <c r="C783" i="1"/>
  <c r="F783" i="1" l="1"/>
  <c r="G783" i="1" s="1"/>
  <c r="D783" i="1"/>
  <c r="Q783" i="1" l="1"/>
  <c r="R783" i="1" s="1"/>
  <c r="E783" i="1"/>
  <c r="L783" i="1"/>
  <c r="M783" i="1" s="1"/>
  <c r="P784" i="1" l="1"/>
  <c r="S784" i="1"/>
  <c r="N784" i="1"/>
  <c r="K784" i="1"/>
  <c r="T784" i="1" l="1"/>
  <c r="I784" i="1"/>
  <c r="C784" i="1"/>
  <c r="D784" i="1" l="1"/>
  <c r="F784" i="1"/>
  <c r="G784" i="1" s="1"/>
  <c r="Q784" i="1" l="1"/>
  <c r="R784" i="1" s="1"/>
  <c r="L784" i="1"/>
  <c r="M784" i="1" s="1"/>
  <c r="E784" i="1"/>
  <c r="S785" i="1" l="1"/>
  <c r="P785" i="1"/>
  <c r="N785" i="1"/>
  <c r="K785" i="1"/>
  <c r="T785" i="1" l="1"/>
  <c r="C785" i="1"/>
  <c r="I785" i="1"/>
  <c r="F785" i="1" l="1"/>
  <c r="G785" i="1" s="1"/>
  <c r="D785" i="1"/>
  <c r="L785" i="1" l="1"/>
  <c r="M785" i="1" s="1"/>
  <c r="Q785" i="1"/>
  <c r="R785" i="1" s="1"/>
  <c r="E785" i="1"/>
  <c r="K786" i="1" l="1"/>
  <c r="N786" i="1"/>
  <c r="P786" i="1"/>
  <c r="S786" i="1"/>
  <c r="T786" i="1" l="1"/>
  <c r="C786" i="1"/>
  <c r="I786" i="1"/>
  <c r="D786" i="1" l="1"/>
  <c r="F786" i="1"/>
  <c r="G786" i="1" s="1"/>
  <c r="L786" i="1" l="1"/>
  <c r="M786" i="1" s="1"/>
  <c r="Q786" i="1"/>
  <c r="R786" i="1" s="1"/>
  <c r="E786" i="1"/>
  <c r="K787" i="1" l="1"/>
  <c r="N787" i="1"/>
  <c r="S787" i="1"/>
  <c r="P787" i="1"/>
  <c r="T787" i="1" l="1"/>
  <c r="C787" i="1"/>
  <c r="I787" i="1"/>
  <c r="D787" i="1" l="1"/>
  <c r="F787" i="1"/>
  <c r="G787" i="1" s="1"/>
  <c r="Q787" i="1" l="1"/>
  <c r="R787" i="1" s="1"/>
  <c r="L787" i="1"/>
  <c r="M787" i="1" s="1"/>
  <c r="E787" i="1"/>
  <c r="S788" i="1" l="1"/>
  <c r="P788" i="1"/>
  <c r="N788" i="1"/>
  <c r="K788" i="1"/>
  <c r="T788" i="1" l="1"/>
  <c r="C788" i="1"/>
  <c r="I788" i="1"/>
  <c r="F788" i="1" l="1"/>
  <c r="G788" i="1" s="1"/>
  <c r="D788" i="1"/>
  <c r="L788" i="1" l="1"/>
  <c r="M788" i="1" s="1"/>
  <c r="Q788" i="1"/>
  <c r="R788" i="1" s="1"/>
  <c r="E788" i="1"/>
  <c r="K789" i="1" l="1"/>
  <c r="N789" i="1"/>
  <c r="P789" i="1"/>
  <c r="S789" i="1"/>
  <c r="T789" i="1" l="1"/>
  <c r="C789" i="1"/>
  <c r="I789" i="1"/>
  <c r="F789" i="1" l="1"/>
  <c r="G789" i="1" s="1"/>
  <c r="D789" i="1"/>
  <c r="L789" i="1" l="1"/>
  <c r="M789" i="1" s="1"/>
  <c r="E789" i="1"/>
  <c r="Q789" i="1"/>
  <c r="R789" i="1" s="1"/>
  <c r="K790" i="1" l="1"/>
  <c r="N790" i="1"/>
  <c r="S790" i="1"/>
  <c r="P790" i="1"/>
  <c r="T790" i="1" l="1"/>
  <c r="C790" i="1"/>
  <c r="I790" i="1"/>
  <c r="F790" i="1" l="1"/>
  <c r="G790" i="1" s="1"/>
  <c r="D790" i="1"/>
  <c r="L790" i="1" l="1"/>
  <c r="M790" i="1" s="1"/>
  <c r="Q790" i="1"/>
  <c r="R790" i="1" s="1"/>
  <c r="E790" i="1"/>
  <c r="N791" i="1" l="1"/>
  <c r="K791" i="1"/>
  <c r="S791" i="1"/>
  <c r="P791" i="1"/>
  <c r="T791" i="1" l="1"/>
  <c r="I791" i="1"/>
  <c r="C791" i="1"/>
  <c r="D791" i="1" l="1"/>
  <c r="F791" i="1"/>
  <c r="G791" i="1" s="1"/>
  <c r="L791" i="1" l="1"/>
  <c r="M791" i="1" s="1"/>
  <c r="Q791" i="1"/>
  <c r="R791" i="1" s="1"/>
  <c r="E791" i="1"/>
  <c r="K792" i="1" l="1"/>
  <c r="N792" i="1"/>
  <c r="P792" i="1"/>
  <c r="S792" i="1"/>
  <c r="T792" i="1" l="1"/>
  <c r="C792" i="1"/>
  <c r="I792" i="1"/>
  <c r="F792" i="1" l="1"/>
  <c r="G792" i="1" s="1"/>
  <c r="D792" i="1"/>
  <c r="L792" i="1" l="1"/>
  <c r="M792" i="1" s="1"/>
  <c r="E792" i="1"/>
  <c r="Q792" i="1"/>
  <c r="R792" i="1" s="1"/>
  <c r="K793" i="1" l="1"/>
  <c r="N793" i="1"/>
  <c r="S793" i="1"/>
  <c r="P793" i="1"/>
  <c r="T793" i="1" l="1"/>
  <c r="C793" i="1"/>
  <c r="I793" i="1"/>
  <c r="D793" i="1" l="1"/>
  <c r="F793" i="1"/>
  <c r="G793" i="1" s="1"/>
  <c r="L793" i="1" l="1"/>
  <c r="M793" i="1" s="1"/>
  <c r="Q793" i="1"/>
  <c r="R793" i="1" s="1"/>
  <c r="E793" i="1"/>
  <c r="N794" i="1" l="1"/>
  <c r="K794" i="1"/>
  <c r="S794" i="1"/>
  <c r="P794" i="1"/>
  <c r="T794" i="1" l="1"/>
  <c r="I794" i="1"/>
  <c r="C794" i="1"/>
  <c r="D794" i="1" l="1"/>
  <c r="F794" i="1"/>
  <c r="G794" i="1" s="1"/>
  <c r="L794" i="1" l="1"/>
  <c r="M794" i="1" s="1"/>
  <c r="Q794" i="1"/>
  <c r="R794" i="1" s="1"/>
  <c r="E794" i="1"/>
  <c r="K795" i="1" l="1"/>
  <c r="N795" i="1"/>
  <c r="P795" i="1"/>
  <c r="S795" i="1"/>
  <c r="T795" i="1" l="1"/>
  <c r="C795" i="1"/>
  <c r="I795" i="1"/>
  <c r="F795" i="1" l="1"/>
  <c r="G795" i="1" s="1"/>
  <c r="D795" i="1"/>
  <c r="Q795" i="1" l="1"/>
  <c r="R795" i="1" s="1"/>
  <c r="E795" i="1"/>
  <c r="L795" i="1"/>
  <c r="M795" i="1" s="1"/>
  <c r="S796" i="1" l="1"/>
  <c r="P796" i="1"/>
  <c r="K796" i="1"/>
  <c r="N796" i="1"/>
  <c r="T796" i="1" l="1"/>
  <c r="C796" i="1"/>
  <c r="I796" i="1"/>
  <c r="F796" i="1" l="1"/>
  <c r="G796" i="1" s="1"/>
  <c r="D796" i="1"/>
  <c r="L796" i="1" l="1"/>
  <c r="M796" i="1" s="1"/>
  <c r="Q796" i="1"/>
  <c r="R796" i="1" s="1"/>
  <c r="E796" i="1"/>
  <c r="K797" i="1" l="1"/>
  <c r="N797" i="1"/>
  <c r="S797" i="1"/>
  <c r="P797" i="1"/>
  <c r="T797" i="1" l="1"/>
  <c r="C797" i="1"/>
  <c r="I797" i="1"/>
  <c r="D797" i="1" l="1"/>
  <c r="F797" i="1"/>
  <c r="G797" i="1" s="1"/>
  <c r="L797" i="1" l="1"/>
  <c r="M797" i="1" s="1"/>
  <c r="Q797" i="1"/>
  <c r="R797" i="1" s="1"/>
  <c r="E797" i="1"/>
  <c r="N798" i="1" l="1"/>
  <c r="K798" i="1"/>
  <c r="S798" i="1"/>
  <c r="P798" i="1"/>
  <c r="T798" i="1" l="1"/>
  <c r="I798" i="1"/>
  <c r="C798" i="1"/>
  <c r="D798" i="1" l="1"/>
  <c r="F798" i="1"/>
  <c r="G798" i="1" s="1"/>
  <c r="L798" i="1" l="1"/>
  <c r="M798" i="1" s="1"/>
  <c r="E798" i="1"/>
  <c r="Q798" i="1"/>
  <c r="R798" i="1" s="1"/>
  <c r="K799" i="1" l="1"/>
  <c r="N799" i="1"/>
  <c r="P799" i="1"/>
  <c r="S799" i="1"/>
  <c r="T799" i="1" l="1"/>
  <c r="C799" i="1"/>
  <c r="I799" i="1"/>
  <c r="D799" i="1" l="1"/>
  <c r="F799" i="1"/>
  <c r="G799" i="1" s="1"/>
  <c r="Q799" i="1" l="1"/>
  <c r="R799" i="1" s="1"/>
  <c r="E799" i="1"/>
  <c r="L799" i="1"/>
  <c r="M799" i="1" s="1"/>
  <c r="S800" i="1" l="1"/>
  <c r="P800" i="1"/>
  <c r="K800" i="1"/>
  <c r="N800" i="1"/>
  <c r="T800" i="1" l="1"/>
  <c r="C800" i="1"/>
  <c r="I800" i="1"/>
  <c r="F800" i="1" l="1"/>
  <c r="G800" i="1" s="1"/>
  <c r="D800" i="1"/>
  <c r="Q800" i="1" l="1"/>
  <c r="R800" i="1" s="1"/>
  <c r="L800" i="1"/>
  <c r="M800" i="1" s="1"/>
  <c r="E800" i="1"/>
  <c r="P801" i="1" l="1"/>
  <c r="S801" i="1"/>
  <c r="N801" i="1"/>
  <c r="K801" i="1"/>
  <c r="T801" i="1" l="1"/>
  <c r="I801" i="1"/>
  <c r="C801" i="1"/>
  <c r="F801" i="1" l="1"/>
  <c r="G801" i="1" s="1"/>
  <c r="D801" i="1"/>
  <c r="L801" i="1" l="1"/>
  <c r="M801" i="1" s="1"/>
  <c r="Q801" i="1"/>
  <c r="R801" i="1" s="1"/>
  <c r="E801" i="1"/>
  <c r="N802" i="1" l="1"/>
  <c r="K802" i="1"/>
  <c r="S802" i="1"/>
  <c r="P802" i="1"/>
  <c r="T802" i="1" l="1"/>
  <c r="I802" i="1"/>
  <c r="C802" i="1"/>
  <c r="F802" i="1" l="1"/>
  <c r="G802" i="1" s="1"/>
  <c r="D802" i="1"/>
  <c r="L802" i="1" l="1"/>
  <c r="M802" i="1" s="1"/>
  <c r="Q802" i="1"/>
  <c r="R802" i="1" s="1"/>
  <c r="E802" i="1"/>
  <c r="K803" i="1" l="1"/>
  <c r="N803" i="1"/>
  <c r="P803" i="1"/>
  <c r="S803" i="1"/>
  <c r="T803" i="1" l="1"/>
  <c r="C803" i="1"/>
  <c r="I803" i="1"/>
  <c r="D803" i="1" l="1"/>
  <c r="F803" i="1"/>
  <c r="G803" i="1" s="1"/>
  <c r="Q803" i="1" l="1"/>
  <c r="R803" i="1" s="1"/>
  <c r="E803" i="1"/>
  <c r="L803" i="1"/>
  <c r="M803" i="1" s="1"/>
  <c r="S804" i="1" l="1"/>
  <c r="P804" i="1"/>
  <c r="K804" i="1"/>
  <c r="N804" i="1"/>
  <c r="T804" i="1" l="1"/>
  <c r="C804" i="1"/>
  <c r="I804" i="1"/>
  <c r="F804" i="1" l="1"/>
  <c r="G804" i="1" s="1"/>
  <c r="D804" i="1"/>
  <c r="L804" i="1" l="1"/>
  <c r="M804" i="1" s="1"/>
  <c r="Q804" i="1"/>
  <c r="R804" i="1" s="1"/>
  <c r="E804" i="1"/>
  <c r="K805" i="1" l="1"/>
  <c r="N805" i="1"/>
  <c r="S805" i="1"/>
  <c r="P805" i="1"/>
  <c r="T805" i="1" l="1"/>
  <c r="C805" i="1"/>
  <c r="I805" i="1"/>
  <c r="D805" i="1" l="1"/>
  <c r="F805" i="1"/>
  <c r="G805" i="1" s="1"/>
  <c r="L805" i="1" l="1"/>
  <c r="M805" i="1" s="1"/>
  <c r="E805" i="1"/>
  <c r="Q805" i="1"/>
  <c r="R805" i="1" s="1"/>
  <c r="N806" i="1" l="1"/>
  <c r="K806" i="1"/>
  <c r="S806" i="1"/>
  <c r="P806" i="1"/>
  <c r="T806" i="1" l="1"/>
  <c r="I806" i="1"/>
  <c r="C806" i="1"/>
  <c r="F806" i="1" l="1"/>
  <c r="G806" i="1" s="1"/>
  <c r="D806" i="1"/>
  <c r="L806" i="1" l="1"/>
  <c r="M806" i="1" s="1"/>
  <c r="E806" i="1"/>
  <c r="Q806" i="1"/>
  <c r="R806" i="1" s="1"/>
  <c r="K807" i="1" l="1"/>
  <c r="N807" i="1"/>
  <c r="P807" i="1"/>
  <c r="S807" i="1"/>
  <c r="T807" i="1" l="1"/>
  <c r="C807" i="1"/>
  <c r="I807" i="1"/>
  <c r="D807" i="1" l="1"/>
  <c r="F807" i="1"/>
  <c r="G807" i="1" s="1"/>
  <c r="Q807" i="1" l="1"/>
  <c r="R807" i="1" s="1"/>
  <c r="E807" i="1"/>
  <c r="L807" i="1"/>
  <c r="M807" i="1" s="1"/>
  <c r="S808" i="1" l="1"/>
  <c r="P808" i="1"/>
  <c r="K808" i="1"/>
  <c r="N808" i="1"/>
  <c r="T808" i="1" l="1"/>
  <c r="C808" i="1"/>
  <c r="I808" i="1"/>
  <c r="F808" i="1" l="1"/>
  <c r="G808" i="1" s="1"/>
  <c r="D808" i="1"/>
  <c r="L808" i="1" l="1"/>
  <c r="M808" i="1" s="1"/>
  <c r="E808" i="1"/>
  <c r="Q808" i="1"/>
  <c r="R808" i="1" s="1"/>
  <c r="K809" i="1" l="1"/>
  <c r="N809" i="1"/>
  <c r="S809" i="1"/>
  <c r="P809" i="1"/>
  <c r="T809" i="1" l="1"/>
  <c r="C809" i="1"/>
  <c r="I809" i="1"/>
  <c r="D809" i="1" l="1"/>
  <c r="F809" i="1"/>
  <c r="G809" i="1" s="1"/>
  <c r="L809" i="1" l="1"/>
  <c r="M809" i="1" s="1"/>
  <c r="Q809" i="1"/>
  <c r="R809" i="1" s="1"/>
  <c r="E809" i="1"/>
  <c r="K810" i="1" l="1"/>
  <c r="N810" i="1"/>
  <c r="P810" i="1"/>
  <c r="S810" i="1"/>
  <c r="T810" i="1" l="1"/>
  <c r="C810" i="1"/>
  <c r="I810" i="1"/>
  <c r="D810" i="1" l="1"/>
  <c r="F810" i="1"/>
  <c r="G810" i="1" s="1"/>
  <c r="E810" i="1" l="1"/>
  <c r="L810" i="1"/>
  <c r="M810" i="1" s="1"/>
  <c r="Q810" i="1"/>
  <c r="R810" i="1" s="1"/>
  <c r="S811" i="1" l="1"/>
  <c r="P811" i="1"/>
  <c r="K811" i="1"/>
  <c r="N811" i="1"/>
  <c r="T811" i="1" l="1"/>
  <c r="C811" i="1"/>
  <c r="I811" i="1"/>
  <c r="D811" i="1" l="1"/>
  <c r="F811" i="1"/>
  <c r="G811" i="1" s="1"/>
  <c r="Q811" i="1" l="1"/>
  <c r="R811" i="1" s="1"/>
  <c r="L811" i="1"/>
  <c r="M811" i="1" s="1"/>
  <c r="E811" i="1"/>
  <c r="S812" i="1" l="1"/>
  <c r="P812" i="1"/>
  <c r="K812" i="1"/>
  <c r="N812" i="1"/>
  <c r="T812" i="1" l="1"/>
  <c r="C812" i="1"/>
  <c r="I812" i="1"/>
  <c r="F812" i="1" l="1"/>
  <c r="G812" i="1" s="1"/>
  <c r="D812" i="1"/>
  <c r="L812" i="1" l="1"/>
  <c r="M812" i="1" s="1"/>
  <c r="Q812" i="1"/>
  <c r="R812" i="1" s="1"/>
  <c r="E812" i="1"/>
  <c r="K813" i="1" l="1"/>
  <c r="N813" i="1"/>
  <c r="S813" i="1"/>
  <c r="P813" i="1"/>
  <c r="T813" i="1" l="1"/>
  <c r="C813" i="1"/>
  <c r="I813" i="1"/>
  <c r="F813" i="1" l="1"/>
  <c r="G813" i="1" s="1"/>
  <c r="D813" i="1"/>
  <c r="L813" i="1" l="1"/>
  <c r="M813" i="1" s="1"/>
  <c r="Q813" i="1"/>
  <c r="R813" i="1" s="1"/>
  <c r="E813" i="1"/>
  <c r="N814" i="1" l="1"/>
  <c r="K814" i="1"/>
  <c r="S814" i="1"/>
  <c r="P814" i="1"/>
  <c r="T814" i="1" l="1"/>
  <c r="I814" i="1"/>
  <c r="C814" i="1"/>
  <c r="D814" i="1" l="1"/>
  <c r="F814" i="1"/>
  <c r="G814" i="1" s="1"/>
  <c r="L814" i="1" l="1"/>
  <c r="M814" i="1" s="1"/>
  <c r="E814" i="1"/>
  <c r="Q814" i="1"/>
  <c r="R814" i="1" s="1"/>
  <c r="K815" i="1" l="1"/>
  <c r="N815" i="1"/>
  <c r="P815" i="1"/>
  <c r="S815" i="1"/>
  <c r="T815" i="1" l="1"/>
  <c r="C815" i="1"/>
  <c r="I815" i="1"/>
  <c r="D815" i="1" l="1"/>
  <c r="F815" i="1"/>
  <c r="G815" i="1" s="1"/>
  <c r="Q815" i="1" l="1"/>
  <c r="R815" i="1" s="1"/>
  <c r="L815" i="1"/>
  <c r="M815" i="1" s="1"/>
  <c r="E815" i="1"/>
  <c r="S816" i="1" l="1"/>
  <c r="P816" i="1"/>
  <c r="K816" i="1"/>
  <c r="N816" i="1"/>
  <c r="T816" i="1" l="1"/>
  <c r="C816" i="1"/>
  <c r="I816" i="1"/>
  <c r="F816" i="1" l="1"/>
  <c r="G816" i="1" s="1"/>
  <c r="D816" i="1"/>
  <c r="Q816" i="1" l="1"/>
  <c r="R816" i="1" s="1"/>
  <c r="L816" i="1"/>
  <c r="M816" i="1" s="1"/>
  <c r="E816" i="1"/>
  <c r="S817" i="1" l="1"/>
  <c r="P817" i="1"/>
  <c r="K817" i="1"/>
  <c r="N817" i="1"/>
  <c r="T817" i="1" l="1"/>
  <c r="C817" i="1"/>
  <c r="I817" i="1"/>
  <c r="F817" i="1" l="1"/>
  <c r="G817" i="1" s="1"/>
  <c r="D817" i="1"/>
  <c r="L817" i="1" l="1"/>
  <c r="M817" i="1" s="1"/>
  <c r="Q817" i="1"/>
  <c r="R817" i="1" s="1"/>
  <c r="E817" i="1"/>
  <c r="K818" i="1" l="1"/>
  <c r="N818" i="1"/>
  <c r="S818" i="1"/>
  <c r="P818" i="1"/>
  <c r="T818" i="1" l="1"/>
  <c r="C818" i="1"/>
  <c r="I818" i="1"/>
  <c r="D818" i="1" l="1"/>
  <c r="F818" i="1"/>
  <c r="G818" i="1" s="1"/>
  <c r="E818" i="1" l="1"/>
  <c r="L818" i="1"/>
  <c r="M818" i="1" s="1"/>
  <c r="Q818" i="1"/>
  <c r="R818" i="1" s="1"/>
  <c r="S819" i="1" l="1"/>
  <c r="P819" i="1"/>
  <c r="N819" i="1"/>
  <c r="K819" i="1"/>
  <c r="T819" i="1" l="1"/>
  <c r="C819" i="1"/>
  <c r="I819" i="1"/>
  <c r="D819" i="1" l="1"/>
  <c r="F819" i="1"/>
  <c r="G819" i="1" s="1"/>
  <c r="Q819" i="1" l="1"/>
  <c r="R819" i="1" s="1"/>
  <c r="L819" i="1"/>
  <c r="M819" i="1" s="1"/>
  <c r="E819" i="1"/>
  <c r="P820" i="1" l="1"/>
  <c r="S820" i="1"/>
  <c r="K820" i="1"/>
  <c r="N820" i="1"/>
  <c r="T820" i="1" l="1"/>
  <c r="I820" i="1"/>
  <c r="C820" i="1"/>
  <c r="F820" i="1" l="1"/>
  <c r="G820" i="1" s="1"/>
  <c r="D820" i="1"/>
  <c r="L820" i="1" l="1"/>
  <c r="M820" i="1" s="1"/>
  <c r="Q820" i="1"/>
  <c r="R820" i="1" s="1"/>
  <c r="E820" i="1"/>
  <c r="N821" i="1" l="1"/>
  <c r="K821" i="1"/>
  <c r="P821" i="1"/>
  <c r="S821" i="1"/>
  <c r="T821" i="1" l="1"/>
  <c r="I821" i="1"/>
  <c r="C821" i="1"/>
  <c r="F821" i="1" l="1"/>
  <c r="G821" i="1" s="1"/>
  <c r="D821" i="1"/>
  <c r="L821" i="1" l="1"/>
  <c r="M821" i="1" s="1"/>
  <c r="E821" i="1"/>
  <c r="Q821" i="1"/>
  <c r="R821" i="1" s="1"/>
  <c r="K822" i="1" l="1"/>
  <c r="N822" i="1"/>
  <c r="S822" i="1"/>
  <c r="P822" i="1"/>
  <c r="T822" i="1" l="1"/>
  <c r="C822" i="1"/>
  <c r="I822" i="1"/>
  <c r="D822" i="1" l="1"/>
  <c r="F822" i="1"/>
  <c r="G822" i="1" s="1"/>
  <c r="L822" i="1" l="1"/>
  <c r="M822" i="1" s="1"/>
  <c r="E822" i="1"/>
  <c r="Q822" i="1"/>
  <c r="R822" i="1" s="1"/>
  <c r="N823" i="1" l="1"/>
  <c r="K823" i="1"/>
  <c r="S823" i="1"/>
  <c r="P823" i="1"/>
  <c r="T823" i="1" l="1"/>
  <c r="I823" i="1"/>
  <c r="C823" i="1"/>
  <c r="F823" i="1" l="1"/>
  <c r="G823" i="1" s="1"/>
  <c r="D823" i="1"/>
  <c r="E823" i="1" l="1"/>
  <c r="L823" i="1"/>
  <c r="M823" i="1" s="1"/>
  <c r="Q823" i="1"/>
  <c r="R823" i="1" s="1"/>
  <c r="P824" i="1" l="1"/>
  <c r="S824" i="1"/>
  <c r="K824" i="1"/>
  <c r="N824" i="1"/>
  <c r="T824" i="1" l="1"/>
  <c r="I824" i="1"/>
  <c r="C824" i="1"/>
  <c r="F824" i="1" l="1"/>
  <c r="G824" i="1" s="1"/>
  <c r="D824" i="1"/>
  <c r="L824" i="1" l="1"/>
  <c r="M824" i="1" s="1"/>
  <c r="Q824" i="1"/>
  <c r="R824" i="1" s="1"/>
  <c r="E824" i="1"/>
  <c r="N825" i="1" l="1"/>
  <c r="K825" i="1"/>
  <c r="P825" i="1"/>
  <c r="S825" i="1"/>
  <c r="T825" i="1" l="1"/>
  <c r="I825" i="1"/>
  <c r="C825" i="1"/>
  <c r="D825" i="1" l="1"/>
  <c r="F825" i="1"/>
  <c r="G825" i="1" s="1"/>
  <c r="L825" i="1" l="1"/>
  <c r="M825" i="1" s="1"/>
  <c r="E825" i="1"/>
  <c r="Q825" i="1"/>
  <c r="R825" i="1" s="1"/>
  <c r="N826" i="1" l="1"/>
  <c r="K826" i="1"/>
  <c r="P826" i="1"/>
  <c r="S826" i="1"/>
  <c r="T826" i="1" l="1"/>
  <c r="I826" i="1"/>
  <c r="C826" i="1"/>
  <c r="D826" i="1" l="1"/>
  <c r="F826" i="1"/>
  <c r="G826" i="1" s="1"/>
  <c r="L826" i="1" l="1"/>
  <c r="M826" i="1" s="1"/>
  <c r="Q826" i="1"/>
  <c r="R826" i="1" s="1"/>
  <c r="E826" i="1"/>
  <c r="N827" i="1" l="1"/>
  <c r="K827" i="1"/>
  <c r="P827" i="1"/>
  <c r="S827" i="1"/>
  <c r="T827" i="1" l="1"/>
  <c r="I827" i="1"/>
  <c r="C827" i="1"/>
  <c r="D827" i="1" l="1"/>
  <c r="F827" i="1"/>
  <c r="G827" i="1" s="1"/>
  <c r="Q827" i="1" l="1"/>
  <c r="R827" i="1" s="1"/>
  <c r="E827" i="1"/>
  <c r="L827" i="1"/>
  <c r="M827" i="1" s="1"/>
  <c r="P828" i="1" l="1"/>
  <c r="S828" i="1"/>
  <c r="N828" i="1"/>
  <c r="K828" i="1"/>
  <c r="T828" i="1" l="1"/>
  <c r="I828" i="1"/>
  <c r="C828" i="1"/>
  <c r="F828" i="1" l="1"/>
  <c r="G828" i="1" s="1"/>
  <c r="D828" i="1"/>
  <c r="L828" i="1" l="1"/>
  <c r="M828" i="1" s="1"/>
  <c r="Q828" i="1"/>
  <c r="R828" i="1" s="1"/>
  <c r="E828" i="1"/>
  <c r="N829" i="1" l="1"/>
  <c r="K829" i="1"/>
  <c r="S829" i="1"/>
  <c r="P829" i="1"/>
  <c r="T829" i="1" l="1"/>
  <c r="I829" i="1"/>
  <c r="C829" i="1"/>
  <c r="D829" i="1" l="1"/>
  <c r="F829" i="1"/>
  <c r="G829" i="1" s="1"/>
  <c r="L829" i="1" l="1"/>
  <c r="M829" i="1" s="1"/>
  <c r="Q829" i="1"/>
  <c r="R829" i="1" s="1"/>
  <c r="E829" i="1"/>
  <c r="K830" i="1" l="1"/>
  <c r="N830" i="1"/>
  <c r="P830" i="1"/>
  <c r="S830" i="1"/>
  <c r="T830" i="1" l="1"/>
  <c r="C830" i="1"/>
  <c r="I830" i="1"/>
  <c r="D830" i="1" l="1"/>
  <c r="F830" i="1"/>
  <c r="G830" i="1" s="1"/>
  <c r="E830" i="1" l="1"/>
  <c r="L830" i="1"/>
  <c r="M830" i="1" s="1"/>
  <c r="Q830" i="1"/>
  <c r="R830" i="1" s="1"/>
  <c r="S831" i="1" l="1"/>
  <c r="P831" i="1"/>
  <c r="K831" i="1"/>
  <c r="N831" i="1"/>
  <c r="T831" i="1" l="1"/>
  <c r="C831" i="1"/>
  <c r="I831" i="1"/>
  <c r="D831" i="1" l="1"/>
  <c r="F831" i="1"/>
  <c r="G831" i="1" s="1"/>
  <c r="Q831" i="1" l="1"/>
  <c r="R831" i="1" s="1"/>
  <c r="L831" i="1"/>
  <c r="M831" i="1" s="1"/>
  <c r="E831" i="1"/>
  <c r="S832" i="1" l="1"/>
  <c r="P832" i="1"/>
  <c r="K832" i="1"/>
  <c r="N832" i="1"/>
  <c r="T832" i="1" l="1"/>
  <c r="C832" i="1"/>
  <c r="I832" i="1"/>
  <c r="F832" i="1" l="1"/>
  <c r="G832" i="1" s="1"/>
  <c r="D832" i="1"/>
  <c r="Q832" i="1" l="1"/>
  <c r="R832" i="1" s="1"/>
  <c r="L832" i="1"/>
  <c r="M832" i="1" s="1"/>
  <c r="E832" i="1"/>
  <c r="S833" i="1" l="1"/>
  <c r="P833" i="1"/>
  <c r="K833" i="1"/>
  <c r="N833" i="1"/>
  <c r="T833" i="1" l="1"/>
  <c r="C833" i="1"/>
  <c r="I833" i="1"/>
  <c r="F833" i="1" l="1"/>
  <c r="G833" i="1" s="1"/>
  <c r="D833" i="1"/>
  <c r="L833" i="1" l="1"/>
  <c r="M833" i="1" s="1"/>
  <c r="Q833" i="1"/>
  <c r="R833" i="1" s="1"/>
  <c r="E833" i="1"/>
  <c r="K834" i="1" l="1"/>
  <c r="N834" i="1"/>
  <c r="S834" i="1"/>
  <c r="P834" i="1"/>
  <c r="T834" i="1" l="1"/>
  <c r="C834" i="1"/>
  <c r="I834" i="1"/>
  <c r="D834" i="1" l="1"/>
  <c r="F834" i="1"/>
  <c r="G834" i="1" s="1"/>
  <c r="L834" i="1" l="1"/>
  <c r="M834" i="1" s="1"/>
  <c r="Q834" i="1"/>
  <c r="R834" i="1" s="1"/>
  <c r="E834" i="1"/>
  <c r="N835" i="1" l="1"/>
  <c r="K835" i="1"/>
  <c r="S835" i="1"/>
  <c r="P835" i="1"/>
  <c r="T835" i="1" l="1"/>
  <c r="I835" i="1"/>
  <c r="C835" i="1"/>
  <c r="F835" i="1" l="1"/>
  <c r="G835" i="1" s="1"/>
  <c r="D835" i="1"/>
  <c r="Q835" i="1" l="1"/>
  <c r="R835" i="1" s="1"/>
  <c r="E835" i="1"/>
  <c r="L835" i="1"/>
  <c r="M835" i="1" s="1"/>
  <c r="P836" i="1" l="1"/>
  <c r="S836" i="1"/>
  <c r="K836" i="1"/>
  <c r="N836" i="1"/>
  <c r="T836" i="1" l="1"/>
  <c r="I836" i="1"/>
  <c r="C836" i="1"/>
  <c r="D836" i="1" l="1"/>
  <c r="F836" i="1"/>
  <c r="G836" i="1" s="1"/>
  <c r="L836" i="1" l="1"/>
  <c r="M836" i="1" s="1"/>
  <c r="E836" i="1"/>
  <c r="Q836" i="1"/>
  <c r="R836" i="1" s="1"/>
  <c r="N837" i="1" l="1"/>
  <c r="K837" i="1"/>
  <c r="P837" i="1"/>
  <c r="S837" i="1"/>
  <c r="T837" i="1" l="1"/>
  <c r="I837" i="1"/>
  <c r="C837" i="1"/>
  <c r="F837" i="1" l="1"/>
  <c r="G837" i="1" s="1"/>
  <c r="D837" i="1"/>
  <c r="L837" i="1" l="1"/>
  <c r="M837" i="1" s="1"/>
  <c r="Q837" i="1"/>
  <c r="R837" i="1" s="1"/>
  <c r="E837" i="1"/>
  <c r="N838" i="1" l="1"/>
  <c r="K838" i="1"/>
  <c r="P838" i="1"/>
  <c r="S838" i="1"/>
  <c r="T838" i="1" l="1"/>
  <c r="I838" i="1"/>
  <c r="C838" i="1"/>
  <c r="D838" i="1" l="1"/>
  <c r="F838" i="1"/>
  <c r="G838" i="1" s="1"/>
  <c r="L838" i="1" l="1"/>
  <c r="M838" i="1" s="1"/>
  <c r="Q838" i="1"/>
  <c r="R838" i="1" s="1"/>
  <c r="E838" i="1"/>
  <c r="N839" i="1" l="1"/>
  <c r="K839" i="1"/>
  <c r="P839" i="1"/>
  <c r="S839" i="1"/>
  <c r="T839" i="1" l="1"/>
  <c r="I839" i="1"/>
  <c r="C839" i="1"/>
  <c r="D839" i="1" l="1"/>
  <c r="F839" i="1"/>
  <c r="G839" i="1" s="1"/>
  <c r="Q839" i="1" l="1"/>
  <c r="R839" i="1" s="1"/>
  <c r="E839" i="1"/>
  <c r="L839" i="1"/>
  <c r="M839" i="1" s="1"/>
  <c r="P840" i="1" l="1"/>
  <c r="S840" i="1"/>
  <c r="N840" i="1"/>
  <c r="K840" i="1"/>
  <c r="T840" i="1" l="1"/>
  <c r="I840" i="1"/>
  <c r="C840" i="1"/>
  <c r="D840" i="1" l="1"/>
  <c r="F840" i="1"/>
  <c r="G840" i="1" s="1"/>
  <c r="L840" i="1" l="1"/>
  <c r="M840" i="1" s="1"/>
  <c r="Q840" i="1"/>
  <c r="R840" i="1" s="1"/>
  <c r="E840" i="1"/>
  <c r="N841" i="1" l="1"/>
  <c r="K841" i="1"/>
  <c r="S841" i="1"/>
  <c r="P841" i="1"/>
  <c r="T841" i="1" l="1"/>
  <c r="I841" i="1"/>
  <c r="C841" i="1"/>
  <c r="F841" i="1" l="1"/>
  <c r="G841" i="1" s="1"/>
  <c r="D841" i="1"/>
  <c r="L841" i="1" l="1"/>
  <c r="M841" i="1" s="1"/>
  <c r="Q841" i="1"/>
  <c r="R841" i="1" s="1"/>
  <c r="E841" i="1"/>
  <c r="K842" i="1" l="1"/>
  <c r="N842" i="1"/>
  <c r="P842" i="1"/>
  <c r="S842" i="1"/>
  <c r="T842" i="1" l="1"/>
  <c r="C842" i="1"/>
  <c r="I842" i="1"/>
  <c r="D842" i="1" l="1"/>
  <c r="F842" i="1"/>
  <c r="G842" i="1" s="1"/>
  <c r="L842" i="1" l="1"/>
  <c r="M842" i="1" s="1"/>
  <c r="Q842" i="1"/>
  <c r="R842" i="1" s="1"/>
  <c r="E842" i="1"/>
  <c r="K843" i="1" l="1"/>
  <c r="N843" i="1"/>
  <c r="S843" i="1"/>
  <c r="P843" i="1"/>
  <c r="T843" i="1" l="1"/>
  <c r="C843" i="1"/>
  <c r="I843" i="1"/>
  <c r="D843" i="1" l="1"/>
  <c r="F843" i="1"/>
  <c r="G843" i="1" s="1"/>
  <c r="Q843" i="1" l="1"/>
  <c r="R843" i="1" s="1"/>
  <c r="L843" i="1"/>
  <c r="M843" i="1" s="1"/>
  <c r="E843" i="1"/>
  <c r="S844" i="1" l="1"/>
  <c r="P844" i="1"/>
  <c r="N844" i="1"/>
  <c r="K844" i="1"/>
  <c r="T844" i="1" l="1"/>
  <c r="C844" i="1"/>
  <c r="I844" i="1"/>
  <c r="F844" i="1" l="1"/>
  <c r="G844" i="1" s="1"/>
  <c r="D844" i="1"/>
  <c r="Q844" i="1" l="1"/>
  <c r="R844" i="1" s="1"/>
  <c r="L844" i="1"/>
  <c r="M844" i="1" s="1"/>
  <c r="E844" i="1"/>
  <c r="P845" i="1" l="1"/>
  <c r="S845" i="1"/>
  <c r="K845" i="1"/>
  <c r="N845" i="1"/>
  <c r="T845" i="1" l="1"/>
  <c r="I845" i="1"/>
  <c r="C845" i="1"/>
  <c r="F845" i="1" l="1"/>
  <c r="G845" i="1" s="1"/>
  <c r="D845" i="1"/>
  <c r="Q845" i="1" l="1"/>
  <c r="R845" i="1" s="1"/>
  <c r="E845" i="1"/>
  <c r="L845" i="1"/>
  <c r="M845" i="1" s="1"/>
  <c r="P846" i="1" l="1"/>
  <c r="S846" i="1"/>
  <c r="N846" i="1"/>
  <c r="K846" i="1"/>
  <c r="T846" i="1" l="1"/>
  <c r="I846" i="1"/>
  <c r="C846" i="1"/>
  <c r="D846" i="1" l="1"/>
  <c r="F846" i="1"/>
  <c r="G846" i="1" s="1"/>
  <c r="Q846" i="1" l="1"/>
  <c r="R846" i="1" s="1"/>
  <c r="E846" i="1"/>
  <c r="L846" i="1"/>
  <c r="M846" i="1" s="1"/>
  <c r="S847" i="1" l="1"/>
  <c r="P847" i="1"/>
  <c r="N847" i="1"/>
  <c r="K847" i="1"/>
  <c r="T847" i="1" l="1"/>
  <c r="C847" i="1"/>
  <c r="I847" i="1"/>
  <c r="D847" i="1" l="1"/>
  <c r="F847" i="1"/>
  <c r="G847" i="1" s="1"/>
  <c r="Q847" i="1" l="1"/>
  <c r="R847" i="1" s="1"/>
  <c r="E847" i="1"/>
  <c r="L847" i="1"/>
  <c r="M847" i="1" s="1"/>
  <c r="P848" i="1" l="1"/>
  <c r="S848" i="1"/>
  <c r="K848" i="1"/>
  <c r="N848" i="1"/>
  <c r="T848" i="1" l="1"/>
  <c r="I848" i="1"/>
  <c r="C848" i="1"/>
  <c r="D848" i="1" l="1"/>
  <c r="F848" i="1"/>
  <c r="G848" i="1" s="1"/>
  <c r="L848" i="1" l="1"/>
  <c r="M848" i="1" s="1"/>
  <c r="Q848" i="1"/>
  <c r="R848" i="1" s="1"/>
  <c r="E848" i="1"/>
  <c r="N849" i="1" l="1"/>
  <c r="K849" i="1"/>
  <c r="P849" i="1"/>
  <c r="S849" i="1"/>
  <c r="T849" i="1" l="1"/>
  <c r="I849" i="1"/>
  <c r="C849" i="1"/>
  <c r="D849" i="1" l="1"/>
  <c r="F849" i="1"/>
  <c r="G849" i="1" s="1"/>
  <c r="L849" i="1" l="1"/>
  <c r="M849" i="1" s="1"/>
  <c r="Q849" i="1"/>
  <c r="R849" i="1" s="1"/>
  <c r="E849" i="1"/>
  <c r="N850" i="1" l="1"/>
  <c r="K850" i="1"/>
  <c r="P850" i="1"/>
  <c r="S850" i="1"/>
  <c r="T850" i="1" l="1"/>
  <c r="I850" i="1"/>
  <c r="C850" i="1"/>
  <c r="F850" i="1" l="1"/>
  <c r="G850" i="1" s="1"/>
  <c r="D850" i="1"/>
  <c r="L850" i="1" l="1"/>
  <c r="M850" i="1" s="1"/>
  <c r="Q850" i="1"/>
  <c r="R850" i="1" s="1"/>
  <c r="E850" i="1"/>
  <c r="K851" i="1" l="1"/>
  <c r="N851" i="1"/>
  <c r="S851" i="1"/>
  <c r="P851" i="1"/>
  <c r="T851" i="1" l="1"/>
  <c r="C851" i="1"/>
  <c r="I851" i="1"/>
  <c r="F851" i="1" l="1"/>
  <c r="G851" i="1" s="1"/>
  <c r="D851" i="1"/>
  <c r="L851" i="1" l="1"/>
  <c r="M851" i="1" s="1"/>
  <c r="Q851" i="1"/>
  <c r="R851" i="1" s="1"/>
  <c r="E851" i="1"/>
  <c r="N852" i="1" l="1"/>
  <c r="K852" i="1"/>
  <c r="S852" i="1"/>
  <c r="P852" i="1"/>
  <c r="T852" i="1" l="1"/>
  <c r="I852" i="1"/>
  <c r="C852" i="1"/>
  <c r="D852" i="1" l="1"/>
  <c r="F852" i="1"/>
  <c r="G852" i="1" s="1"/>
  <c r="L852" i="1" l="1"/>
  <c r="M852" i="1" s="1"/>
  <c r="Q852" i="1"/>
  <c r="R852" i="1" s="1"/>
  <c r="E852" i="1"/>
  <c r="K853" i="1" l="1"/>
  <c r="N853" i="1"/>
  <c r="P853" i="1"/>
  <c r="S853" i="1"/>
  <c r="T853" i="1" l="1"/>
  <c r="C853" i="1"/>
  <c r="I853" i="1"/>
  <c r="D853" i="1" l="1"/>
  <c r="F853" i="1"/>
  <c r="G853" i="1" s="1"/>
  <c r="L853" i="1" l="1"/>
  <c r="M853" i="1" s="1"/>
  <c r="Q853" i="1"/>
  <c r="R853" i="1" s="1"/>
  <c r="E853" i="1"/>
  <c r="K854" i="1" l="1"/>
  <c r="N854" i="1"/>
  <c r="S854" i="1"/>
  <c r="P854" i="1"/>
  <c r="T854" i="1" l="1"/>
  <c r="C854" i="1"/>
  <c r="I854" i="1"/>
  <c r="F854" i="1" l="1"/>
  <c r="G854" i="1" s="1"/>
  <c r="D854" i="1"/>
  <c r="L854" i="1" l="1"/>
  <c r="M854" i="1" s="1"/>
  <c r="Q854" i="1"/>
  <c r="R854" i="1" s="1"/>
  <c r="E854" i="1"/>
  <c r="K855" i="1" l="1"/>
  <c r="N855" i="1"/>
  <c r="P855" i="1"/>
  <c r="S855" i="1"/>
  <c r="T855" i="1" l="1"/>
  <c r="C855" i="1"/>
  <c r="I855" i="1"/>
  <c r="D855" i="1" l="1"/>
  <c r="F855" i="1"/>
  <c r="G855" i="1" s="1"/>
  <c r="L855" i="1" l="1"/>
  <c r="M855" i="1" s="1"/>
  <c r="Q855" i="1"/>
  <c r="R855" i="1" s="1"/>
  <c r="E855" i="1"/>
  <c r="K856" i="1" l="1"/>
  <c r="N856" i="1"/>
  <c r="S856" i="1"/>
  <c r="P856" i="1"/>
  <c r="T856" i="1" l="1"/>
  <c r="C856" i="1"/>
  <c r="I856" i="1"/>
  <c r="D856" i="1" l="1"/>
  <c r="F856" i="1"/>
  <c r="G856" i="1" s="1"/>
  <c r="Q856" i="1" l="1"/>
  <c r="R856" i="1" s="1"/>
  <c r="E856" i="1"/>
  <c r="L856" i="1"/>
  <c r="M856" i="1" s="1"/>
  <c r="S857" i="1" l="1"/>
  <c r="P857" i="1"/>
  <c r="N857" i="1"/>
  <c r="K857" i="1"/>
  <c r="T857" i="1" l="1"/>
  <c r="C857" i="1"/>
  <c r="I857" i="1"/>
  <c r="D857" i="1" l="1"/>
  <c r="F857" i="1"/>
  <c r="G857" i="1" s="1"/>
  <c r="Q857" i="1" l="1"/>
  <c r="R857" i="1" s="1"/>
  <c r="L857" i="1"/>
  <c r="M857" i="1" s="1"/>
  <c r="E857" i="1"/>
  <c r="P858" i="1" l="1"/>
  <c r="S858" i="1"/>
  <c r="K858" i="1"/>
  <c r="N858" i="1"/>
  <c r="T858" i="1" l="1"/>
  <c r="I858" i="1"/>
  <c r="C858" i="1"/>
  <c r="F858" i="1" l="1"/>
  <c r="G858" i="1" s="1"/>
  <c r="D858" i="1"/>
  <c r="L858" i="1" l="1"/>
  <c r="M858" i="1" s="1"/>
  <c r="E858" i="1"/>
  <c r="Q858" i="1"/>
  <c r="R858" i="1" s="1"/>
  <c r="N859" i="1" l="1"/>
  <c r="K859" i="1"/>
  <c r="P859" i="1"/>
  <c r="S859" i="1"/>
  <c r="T859" i="1" l="1"/>
  <c r="I859" i="1"/>
  <c r="C859" i="1"/>
  <c r="D859" i="1" l="1"/>
  <c r="F859" i="1"/>
  <c r="G859" i="1" s="1"/>
  <c r="L859" i="1" l="1"/>
  <c r="M859" i="1" s="1"/>
  <c r="Q859" i="1"/>
  <c r="R859" i="1" s="1"/>
  <c r="E859" i="1"/>
  <c r="N860" i="1" l="1"/>
  <c r="K860" i="1"/>
  <c r="P860" i="1"/>
  <c r="S860" i="1"/>
  <c r="T860" i="1" l="1"/>
  <c r="I860" i="1"/>
  <c r="C860" i="1"/>
  <c r="D860" i="1" l="1"/>
  <c r="F860" i="1"/>
  <c r="G860" i="1" s="1"/>
  <c r="Q860" i="1" l="1"/>
  <c r="R860" i="1" s="1"/>
  <c r="L860" i="1"/>
  <c r="M860" i="1" s="1"/>
  <c r="E860" i="1"/>
  <c r="P861" i="1" l="1"/>
  <c r="S861" i="1"/>
  <c r="N861" i="1"/>
  <c r="K861" i="1"/>
  <c r="T861" i="1" l="1"/>
  <c r="I861" i="1"/>
  <c r="C861" i="1"/>
  <c r="F861" i="1" l="1"/>
  <c r="G861" i="1" s="1"/>
  <c r="D861" i="1"/>
  <c r="L861" i="1" l="1"/>
  <c r="M861" i="1" s="1"/>
  <c r="E861" i="1"/>
  <c r="Q861" i="1"/>
  <c r="R861" i="1" s="1"/>
  <c r="N862" i="1" l="1"/>
  <c r="K862" i="1"/>
  <c r="S862" i="1"/>
  <c r="P862" i="1"/>
  <c r="T862" i="1" l="1"/>
  <c r="I862" i="1"/>
  <c r="C862" i="1"/>
  <c r="F862" i="1" l="1"/>
  <c r="G862" i="1" s="1"/>
  <c r="D862" i="1"/>
  <c r="L862" i="1" l="1"/>
  <c r="M862" i="1" s="1"/>
  <c r="Q862" i="1"/>
  <c r="R862" i="1" s="1"/>
  <c r="E862" i="1"/>
  <c r="K863" i="1" l="1"/>
  <c r="N863" i="1"/>
  <c r="P863" i="1"/>
  <c r="S863" i="1"/>
  <c r="T863" i="1" l="1"/>
  <c r="C863" i="1"/>
  <c r="I863" i="1"/>
  <c r="D863" i="1" l="1"/>
  <c r="F863" i="1"/>
  <c r="G863" i="1" s="1"/>
  <c r="L863" i="1" l="1"/>
  <c r="M863" i="1" s="1"/>
  <c r="Q863" i="1"/>
  <c r="R863" i="1" s="1"/>
  <c r="E863" i="1"/>
  <c r="K864" i="1" l="1"/>
  <c r="N864" i="1"/>
  <c r="S864" i="1"/>
  <c r="P864" i="1"/>
  <c r="T864" i="1" l="1"/>
  <c r="C864" i="1"/>
  <c r="I864" i="1"/>
  <c r="D864" i="1" l="1"/>
  <c r="F864" i="1"/>
  <c r="G864" i="1" s="1"/>
  <c r="Q864" i="1" l="1"/>
  <c r="R864" i="1" s="1"/>
  <c r="E864" i="1"/>
  <c r="L864" i="1"/>
  <c r="M864" i="1" s="1"/>
  <c r="S865" i="1" l="1"/>
  <c r="P865" i="1"/>
  <c r="N865" i="1"/>
  <c r="K865" i="1"/>
  <c r="T865" i="1" l="1"/>
  <c r="C865" i="1"/>
  <c r="I865" i="1"/>
  <c r="F865" i="1" l="1"/>
  <c r="G865" i="1" s="1"/>
  <c r="D865" i="1"/>
  <c r="L865" i="1" l="1"/>
  <c r="M865" i="1" s="1"/>
  <c r="E865" i="1"/>
  <c r="Q865" i="1"/>
  <c r="R865" i="1" s="1"/>
  <c r="K866" i="1" l="1"/>
  <c r="N866" i="1"/>
  <c r="P866" i="1"/>
  <c r="S866" i="1"/>
  <c r="T866" i="1" l="1"/>
  <c r="C866" i="1"/>
  <c r="I866" i="1"/>
  <c r="D866" i="1" l="1"/>
  <c r="F866" i="1"/>
  <c r="G866" i="1" s="1"/>
  <c r="L866" i="1" l="1"/>
  <c r="M866" i="1" s="1"/>
  <c r="Q866" i="1"/>
  <c r="R866" i="1" s="1"/>
  <c r="E866" i="1"/>
  <c r="K867" i="1" l="1"/>
  <c r="N867" i="1"/>
  <c r="S867" i="1"/>
  <c r="P867" i="1"/>
  <c r="T867" i="1" l="1"/>
  <c r="C867" i="1"/>
  <c r="I867" i="1"/>
  <c r="D867" i="1" l="1"/>
  <c r="F867" i="1"/>
  <c r="G867" i="1" s="1"/>
  <c r="L867" i="1" l="1"/>
  <c r="M867" i="1" s="1"/>
  <c r="E867" i="1"/>
  <c r="Q867" i="1"/>
  <c r="R867" i="1" s="1"/>
  <c r="N868" i="1" l="1"/>
  <c r="K868" i="1"/>
  <c r="S868" i="1"/>
  <c r="P868" i="1"/>
  <c r="T868" i="1" l="1"/>
  <c r="I868" i="1"/>
  <c r="C868" i="1"/>
  <c r="D868" i="1" l="1"/>
  <c r="F868" i="1"/>
  <c r="G868" i="1" s="1"/>
  <c r="L868" i="1" l="1"/>
  <c r="M868" i="1" s="1"/>
  <c r="Q868" i="1"/>
  <c r="R868" i="1" s="1"/>
  <c r="E868" i="1"/>
  <c r="K869" i="1" l="1"/>
  <c r="N869" i="1"/>
  <c r="P869" i="1"/>
  <c r="S869" i="1"/>
  <c r="T869" i="1" l="1"/>
  <c r="C869" i="1"/>
  <c r="I869" i="1"/>
  <c r="D869" i="1" l="1"/>
  <c r="F869" i="1"/>
  <c r="G869" i="1" s="1"/>
  <c r="L869" i="1" l="1"/>
  <c r="M869" i="1" s="1"/>
  <c r="Q869" i="1"/>
  <c r="R869" i="1" s="1"/>
  <c r="E869" i="1"/>
  <c r="K870" i="1" l="1"/>
  <c r="N870" i="1"/>
  <c r="S870" i="1"/>
  <c r="P870" i="1"/>
  <c r="T870" i="1" l="1"/>
  <c r="C870" i="1"/>
  <c r="I870" i="1"/>
  <c r="F870" i="1" l="1"/>
  <c r="G870" i="1" s="1"/>
  <c r="D870" i="1"/>
  <c r="L870" i="1" l="1"/>
  <c r="M870" i="1" s="1"/>
  <c r="Q870" i="1"/>
  <c r="R870" i="1" s="1"/>
  <c r="E870" i="1"/>
  <c r="N871" i="1" l="1"/>
  <c r="K871" i="1"/>
  <c r="S871" i="1"/>
  <c r="P871" i="1"/>
  <c r="T871" i="1" l="1"/>
  <c r="I871" i="1"/>
  <c r="C871" i="1"/>
  <c r="D871" i="1" l="1"/>
  <c r="F871" i="1"/>
  <c r="G871" i="1" s="1"/>
  <c r="L871" i="1" l="1"/>
  <c r="M871" i="1" s="1"/>
  <c r="Q871" i="1"/>
  <c r="R871" i="1" s="1"/>
  <c r="E871" i="1"/>
  <c r="K872" i="1" l="1"/>
  <c r="N872" i="1"/>
  <c r="P872" i="1"/>
  <c r="S872" i="1"/>
  <c r="T872" i="1" l="1"/>
  <c r="C872" i="1"/>
  <c r="I872" i="1"/>
  <c r="D872" i="1" l="1"/>
  <c r="F872" i="1"/>
  <c r="G872" i="1" s="1"/>
  <c r="E872" i="1" l="1"/>
  <c r="L872" i="1"/>
  <c r="M872" i="1" s="1"/>
  <c r="Q872" i="1"/>
  <c r="R872" i="1" s="1"/>
  <c r="S873" i="1" l="1"/>
  <c r="P873" i="1"/>
  <c r="K873" i="1"/>
  <c r="N873" i="1"/>
  <c r="T873" i="1" l="1"/>
  <c r="C873" i="1"/>
  <c r="I873" i="1"/>
  <c r="D873" i="1" l="1"/>
  <c r="F873" i="1"/>
  <c r="G873" i="1" s="1"/>
  <c r="Q873" i="1" l="1"/>
  <c r="R873" i="1" s="1"/>
  <c r="E873" i="1"/>
  <c r="L873" i="1"/>
  <c r="M873" i="1" s="1"/>
  <c r="S874" i="1" l="1"/>
  <c r="P874" i="1"/>
  <c r="K874" i="1"/>
  <c r="N874" i="1"/>
  <c r="T874" i="1" l="1"/>
  <c r="C874" i="1"/>
  <c r="I874" i="1"/>
  <c r="F874" i="1" l="1"/>
  <c r="G874" i="1" s="1"/>
  <c r="D874" i="1"/>
  <c r="L874" i="1" l="1"/>
  <c r="M874" i="1" s="1"/>
  <c r="Q874" i="1"/>
  <c r="R874" i="1" s="1"/>
  <c r="E874" i="1"/>
  <c r="K875" i="1" l="1"/>
  <c r="N875" i="1"/>
  <c r="S875" i="1"/>
  <c r="P875" i="1"/>
  <c r="T875" i="1" l="1"/>
  <c r="C875" i="1"/>
  <c r="I875" i="1"/>
  <c r="F875" i="1" l="1"/>
  <c r="G875" i="1" s="1"/>
  <c r="D875" i="1"/>
  <c r="L875" i="1" l="1"/>
  <c r="M875" i="1" s="1"/>
  <c r="Q875" i="1"/>
  <c r="R875" i="1" s="1"/>
  <c r="E875" i="1"/>
  <c r="N876" i="1" l="1"/>
  <c r="K876" i="1"/>
  <c r="S876" i="1"/>
  <c r="P876" i="1"/>
  <c r="T876" i="1" l="1"/>
  <c r="I876" i="1"/>
  <c r="C876" i="1"/>
  <c r="D876" i="1" l="1"/>
  <c r="F876" i="1"/>
  <c r="G876" i="1" s="1"/>
  <c r="Q876" i="1" l="1"/>
  <c r="R876" i="1" s="1"/>
  <c r="E876" i="1"/>
  <c r="L876" i="1"/>
  <c r="M876" i="1" s="1"/>
  <c r="P877" i="1" l="1"/>
  <c r="S877" i="1"/>
  <c r="K877" i="1"/>
  <c r="N877" i="1"/>
  <c r="T877" i="1" l="1"/>
  <c r="I877" i="1"/>
  <c r="C877" i="1"/>
  <c r="F877" i="1" l="1"/>
  <c r="G877" i="1" s="1"/>
  <c r="D877" i="1"/>
  <c r="Q877" i="1" l="1"/>
  <c r="R877" i="1" s="1"/>
  <c r="E877" i="1"/>
  <c r="L877" i="1"/>
  <c r="M877" i="1" s="1"/>
  <c r="P878" i="1" l="1"/>
  <c r="S878" i="1"/>
  <c r="N878" i="1"/>
  <c r="K878" i="1"/>
  <c r="T878" i="1" l="1"/>
  <c r="I878" i="1"/>
  <c r="C878" i="1"/>
  <c r="F878" i="1" l="1"/>
  <c r="G878" i="1" s="1"/>
  <c r="D878" i="1"/>
  <c r="L878" i="1" l="1"/>
  <c r="M878" i="1" s="1"/>
  <c r="Q878" i="1"/>
  <c r="R878" i="1" s="1"/>
  <c r="E878" i="1"/>
  <c r="K879" i="1" l="1"/>
  <c r="N879" i="1"/>
  <c r="P879" i="1"/>
  <c r="S879" i="1"/>
  <c r="T879" i="1" l="1"/>
  <c r="C879" i="1"/>
  <c r="I879" i="1"/>
  <c r="D879" i="1" l="1"/>
  <c r="F879" i="1"/>
  <c r="G879" i="1" s="1"/>
  <c r="L879" i="1" l="1"/>
  <c r="M879" i="1" s="1"/>
  <c r="Q879" i="1"/>
  <c r="R879" i="1" s="1"/>
  <c r="E879" i="1"/>
  <c r="K880" i="1" l="1"/>
  <c r="N880" i="1"/>
  <c r="S880" i="1"/>
  <c r="P880" i="1"/>
  <c r="T880" i="1" l="1"/>
  <c r="C880" i="1"/>
  <c r="I880" i="1"/>
  <c r="F880" i="1" l="1"/>
  <c r="G880" i="1" s="1"/>
  <c r="D880" i="1"/>
  <c r="Q880" i="1" l="1"/>
  <c r="R880" i="1" s="1"/>
  <c r="L880" i="1"/>
  <c r="M880" i="1" s="1"/>
  <c r="E880" i="1"/>
  <c r="S881" i="1" l="1"/>
  <c r="P881" i="1"/>
  <c r="N881" i="1"/>
  <c r="K881" i="1"/>
  <c r="T881" i="1" l="1"/>
  <c r="C881" i="1"/>
  <c r="I881" i="1"/>
  <c r="D881" i="1" l="1"/>
  <c r="F881" i="1"/>
  <c r="G881" i="1" s="1"/>
  <c r="L881" i="1" l="1"/>
  <c r="M881" i="1" s="1"/>
  <c r="Q881" i="1"/>
  <c r="R881" i="1" s="1"/>
  <c r="E881" i="1"/>
  <c r="K882" i="1" l="1"/>
  <c r="N882" i="1"/>
  <c r="P882" i="1"/>
  <c r="S882" i="1"/>
  <c r="T882" i="1" l="1"/>
  <c r="I882" i="1"/>
  <c r="C882" i="1"/>
  <c r="D882" i="1" l="1"/>
  <c r="F882" i="1"/>
  <c r="G882" i="1" s="1"/>
  <c r="L882" i="1" l="1"/>
  <c r="M882" i="1" s="1"/>
  <c r="Q882" i="1"/>
  <c r="R882" i="1" s="1"/>
  <c r="E882" i="1"/>
  <c r="N883" i="1" l="1"/>
  <c r="K883" i="1"/>
  <c r="P883" i="1"/>
  <c r="S883" i="1"/>
  <c r="T883" i="1" l="1"/>
  <c r="I883" i="1"/>
  <c r="C883" i="1"/>
  <c r="F883" i="1" l="1"/>
  <c r="G883" i="1" s="1"/>
  <c r="D883" i="1"/>
  <c r="L883" i="1" l="1"/>
  <c r="M883" i="1" s="1"/>
  <c r="Q883" i="1"/>
  <c r="R883" i="1" s="1"/>
  <c r="E883" i="1"/>
  <c r="N884" i="1" l="1"/>
  <c r="K884" i="1"/>
  <c r="P884" i="1"/>
  <c r="S884" i="1"/>
  <c r="T884" i="1" l="1"/>
  <c r="I884" i="1"/>
  <c r="C884" i="1"/>
  <c r="D884" i="1" l="1"/>
  <c r="F884" i="1"/>
  <c r="G884" i="1" s="1"/>
  <c r="L884" i="1" l="1"/>
  <c r="M884" i="1" s="1"/>
  <c r="Q884" i="1"/>
  <c r="R884" i="1" s="1"/>
  <c r="E884" i="1"/>
  <c r="N885" i="1" l="1"/>
  <c r="K885" i="1"/>
  <c r="P885" i="1"/>
  <c r="S885" i="1"/>
  <c r="T885" i="1" l="1"/>
  <c r="I885" i="1"/>
  <c r="C885" i="1"/>
  <c r="F885" i="1" l="1"/>
  <c r="G885" i="1" s="1"/>
  <c r="D885" i="1"/>
  <c r="L885" i="1" l="1"/>
  <c r="M885" i="1" s="1"/>
  <c r="Q885" i="1"/>
  <c r="R885" i="1" s="1"/>
  <c r="E885" i="1"/>
  <c r="N886" i="1" l="1"/>
  <c r="K886" i="1"/>
  <c r="P886" i="1"/>
  <c r="S886" i="1"/>
  <c r="T886" i="1" l="1"/>
  <c r="I886" i="1"/>
  <c r="C886" i="1"/>
  <c r="F886" i="1" l="1"/>
  <c r="G886" i="1" s="1"/>
  <c r="D886" i="1"/>
  <c r="L886" i="1" l="1"/>
  <c r="M886" i="1" s="1"/>
  <c r="Q886" i="1"/>
  <c r="R886" i="1" s="1"/>
  <c r="E886" i="1"/>
  <c r="K887" i="1" l="1"/>
  <c r="N887" i="1"/>
  <c r="S887" i="1"/>
  <c r="P887" i="1"/>
  <c r="T887" i="1" l="1"/>
  <c r="C887" i="1"/>
  <c r="I887" i="1"/>
  <c r="D887" i="1" l="1"/>
  <c r="F887" i="1"/>
  <c r="G887" i="1" s="1"/>
  <c r="L887" i="1" l="1"/>
  <c r="M887" i="1" s="1"/>
  <c r="Q887" i="1"/>
  <c r="R887" i="1" s="1"/>
  <c r="E887" i="1"/>
  <c r="N888" i="1" l="1"/>
  <c r="K888" i="1"/>
  <c r="S888" i="1"/>
  <c r="P888" i="1"/>
  <c r="T888" i="1" l="1"/>
  <c r="I888" i="1"/>
  <c r="C888" i="1"/>
  <c r="F888" i="1" l="1"/>
  <c r="G888" i="1" s="1"/>
  <c r="D888" i="1"/>
  <c r="L888" i="1" l="1"/>
  <c r="M888" i="1" s="1"/>
  <c r="Q888" i="1"/>
  <c r="R888" i="1" s="1"/>
  <c r="E888" i="1"/>
  <c r="K889" i="1" l="1"/>
  <c r="N889" i="1"/>
  <c r="P889" i="1"/>
  <c r="S889" i="1"/>
  <c r="T889" i="1" l="1"/>
  <c r="C889" i="1"/>
  <c r="I889" i="1"/>
  <c r="F889" i="1" l="1"/>
  <c r="G889" i="1" s="1"/>
  <c r="D889" i="1"/>
  <c r="E889" i="1" l="1"/>
  <c r="Q889" i="1"/>
  <c r="R889" i="1" s="1"/>
  <c r="L889" i="1"/>
  <c r="M889" i="1" s="1"/>
  <c r="K890" i="1" l="1"/>
  <c r="N890" i="1"/>
  <c r="S890" i="1"/>
  <c r="P890" i="1"/>
  <c r="T890" i="1" l="1"/>
  <c r="C890" i="1"/>
  <c r="I890" i="1"/>
  <c r="D890" i="1" l="1"/>
  <c r="F890" i="1"/>
  <c r="G890" i="1" s="1"/>
  <c r="L890" i="1" l="1"/>
  <c r="M890" i="1" s="1"/>
  <c r="Q890" i="1"/>
  <c r="R890" i="1" s="1"/>
  <c r="E890" i="1"/>
  <c r="N891" i="1" l="1"/>
  <c r="K891" i="1"/>
  <c r="S891" i="1"/>
  <c r="P891" i="1"/>
  <c r="T891" i="1" l="1"/>
  <c r="I891" i="1"/>
  <c r="C891" i="1"/>
  <c r="D891" i="1" l="1"/>
  <c r="F891" i="1"/>
  <c r="G891" i="1" s="1"/>
  <c r="L891" i="1" l="1"/>
  <c r="M891" i="1" s="1"/>
  <c r="Q891" i="1"/>
  <c r="R891" i="1" s="1"/>
  <c r="E891" i="1"/>
  <c r="K892" i="1" l="1"/>
  <c r="N892" i="1"/>
  <c r="P892" i="1"/>
  <c r="S892" i="1"/>
  <c r="T892" i="1" l="1"/>
  <c r="C892" i="1"/>
  <c r="I892" i="1"/>
  <c r="D892" i="1" l="1"/>
  <c r="F892" i="1"/>
  <c r="G892" i="1" s="1"/>
  <c r="Q892" i="1" l="1"/>
  <c r="R892" i="1" s="1"/>
  <c r="E892" i="1"/>
  <c r="L892" i="1"/>
  <c r="M892" i="1" s="1"/>
  <c r="S893" i="1" l="1"/>
  <c r="P893" i="1"/>
  <c r="K893" i="1"/>
  <c r="N893" i="1"/>
  <c r="T893" i="1" l="1"/>
  <c r="C893" i="1"/>
  <c r="I893" i="1"/>
  <c r="D893" i="1" l="1"/>
  <c r="F893" i="1"/>
  <c r="G893" i="1" s="1"/>
  <c r="Q893" i="1" l="1"/>
  <c r="R893" i="1" s="1"/>
  <c r="L893" i="1"/>
  <c r="M893" i="1" s="1"/>
  <c r="E893" i="1"/>
  <c r="S894" i="1" l="1"/>
  <c r="P894" i="1"/>
  <c r="K894" i="1"/>
  <c r="N894" i="1"/>
  <c r="T894" i="1" l="1"/>
  <c r="C894" i="1"/>
  <c r="I894" i="1"/>
  <c r="F894" i="1" l="1"/>
  <c r="G894" i="1" s="1"/>
  <c r="D894" i="1"/>
  <c r="E894" i="1" l="1"/>
  <c r="L894" i="1"/>
  <c r="M894" i="1" s="1"/>
  <c r="Q894" i="1"/>
  <c r="R894" i="1" s="1"/>
  <c r="S895" i="1" l="1"/>
  <c r="P895" i="1"/>
  <c r="K895" i="1"/>
  <c r="N895" i="1"/>
  <c r="T895" i="1" l="1"/>
  <c r="C895" i="1"/>
  <c r="I895" i="1"/>
  <c r="D895" i="1" l="1"/>
  <c r="F895" i="1"/>
  <c r="G895" i="1" s="1"/>
  <c r="L895" i="1" l="1"/>
  <c r="M895" i="1" s="1"/>
  <c r="E895" i="1"/>
  <c r="Q895" i="1"/>
  <c r="R895" i="1" s="1"/>
  <c r="N896" i="1" l="1"/>
  <c r="K896" i="1"/>
  <c r="P896" i="1"/>
  <c r="S896" i="1"/>
  <c r="T896" i="1" l="1"/>
  <c r="I896" i="1"/>
  <c r="C896" i="1"/>
  <c r="D896" i="1" l="1"/>
  <c r="F896" i="1"/>
  <c r="G896" i="1" s="1"/>
  <c r="E896" i="1" l="1"/>
  <c r="L896" i="1"/>
  <c r="M896" i="1" s="1"/>
  <c r="Q896" i="1"/>
  <c r="R896" i="1" s="1"/>
  <c r="S897" i="1" l="1"/>
  <c r="P897" i="1"/>
  <c r="K897" i="1"/>
  <c r="N897" i="1"/>
  <c r="T897" i="1" l="1"/>
  <c r="C897" i="1"/>
  <c r="I897" i="1"/>
  <c r="F897" i="1" l="1"/>
  <c r="G897" i="1" s="1"/>
  <c r="D897" i="1"/>
  <c r="L897" i="1" l="1"/>
  <c r="M897" i="1" s="1"/>
  <c r="E897" i="1"/>
  <c r="Q897" i="1"/>
  <c r="R897" i="1" s="1"/>
  <c r="K898" i="1" l="1"/>
  <c r="N898" i="1"/>
  <c r="S898" i="1"/>
  <c r="P898" i="1"/>
  <c r="T898" i="1" l="1"/>
  <c r="C898" i="1"/>
  <c r="I898" i="1"/>
  <c r="F898" i="1" l="1"/>
  <c r="G898" i="1" s="1"/>
  <c r="D898" i="1"/>
  <c r="L898" i="1" l="1"/>
  <c r="M898" i="1" s="1"/>
  <c r="Q898" i="1"/>
  <c r="R898" i="1" s="1"/>
  <c r="E898" i="1"/>
  <c r="N899" i="1" l="1"/>
  <c r="K899" i="1"/>
  <c r="S899" i="1"/>
  <c r="P899" i="1"/>
  <c r="T899" i="1" l="1"/>
  <c r="I899" i="1"/>
  <c r="C899" i="1"/>
  <c r="D899" i="1" l="1"/>
  <c r="F899" i="1"/>
  <c r="G899" i="1" s="1"/>
  <c r="L899" i="1" l="1"/>
  <c r="M899" i="1" s="1"/>
  <c r="E899" i="1"/>
  <c r="Q899" i="1"/>
  <c r="R899" i="1" s="1"/>
  <c r="K900" i="1" l="1"/>
  <c r="N900" i="1"/>
  <c r="P900" i="1"/>
  <c r="S900" i="1"/>
  <c r="T900" i="1" l="1"/>
  <c r="C900" i="1"/>
  <c r="I900" i="1"/>
  <c r="D900" i="1" l="1"/>
  <c r="F900" i="1"/>
  <c r="G900" i="1" s="1"/>
  <c r="Q900" i="1" l="1"/>
  <c r="R900" i="1" s="1"/>
  <c r="L900" i="1"/>
  <c r="M900" i="1" s="1"/>
  <c r="E900" i="1"/>
  <c r="S901" i="1" l="1"/>
  <c r="P901" i="1"/>
  <c r="K901" i="1"/>
  <c r="N901" i="1"/>
  <c r="T901" i="1" l="1"/>
  <c r="C901" i="1"/>
  <c r="I901" i="1"/>
  <c r="F901" i="1" l="1"/>
  <c r="G901" i="1" s="1"/>
  <c r="D901" i="1"/>
  <c r="L901" i="1" l="1"/>
  <c r="M901" i="1" s="1"/>
  <c r="E901" i="1"/>
  <c r="Q901" i="1"/>
  <c r="R901" i="1" s="1"/>
  <c r="N902" i="1" l="1"/>
  <c r="K902" i="1"/>
  <c r="P902" i="1"/>
  <c r="S902" i="1"/>
  <c r="T902" i="1" l="1"/>
  <c r="I902" i="1"/>
  <c r="C902" i="1"/>
  <c r="F902" i="1" l="1"/>
  <c r="G902" i="1" s="1"/>
  <c r="D902" i="1"/>
  <c r="L902" i="1" l="1"/>
  <c r="M902" i="1" s="1"/>
  <c r="Q902" i="1"/>
  <c r="R902" i="1" s="1"/>
  <c r="E902" i="1"/>
  <c r="N903" i="1" l="1"/>
  <c r="K903" i="1"/>
  <c r="P903" i="1"/>
  <c r="S903" i="1"/>
  <c r="T903" i="1" l="1"/>
  <c r="I903" i="1"/>
  <c r="C903" i="1"/>
  <c r="D903" i="1" l="1"/>
  <c r="F903" i="1"/>
  <c r="G903" i="1" s="1"/>
  <c r="L903" i="1" l="1"/>
  <c r="M903" i="1" s="1"/>
  <c r="Q903" i="1"/>
  <c r="R903" i="1" s="1"/>
  <c r="E903" i="1"/>
  <c r="K904" i="1" l="1"/>
  <c r="N904" i="1"/>
  <c r="S904" i="1"/>
  <c r="P904" i="1"/>
  <c r="T904" i="1" l="1"/>
  <c r="C904" i="1"/>
  <c r="I904" i="1"/>
  <c r="D904" i="1" l="1"/>
  <c r="F904" i="1"/>
  <c r="G904" i="1" s="1"/>
  <c r="Q904" i="1" l="1"/>
  <c r="R904" i="1" s="1"/>
  <c r="E904" i="1"/>
  <c r="L904" i="1"/>
  <c r="M904" i="1" s="1"/>
  <c r="S905" i="1" l="1"/>
  <c r="P905" i="1"/>
  <c r="N905" i="1"/>
  <c r="K905" i="1"/>
  <c r="T905" i="1" l="1"/>
  <c r="C905" i="1"/>
  <c r="I905" i="1"/>
  <c r="F905" i="1" l="1"/>
  <c r="G905" i="1" s="1"/>
  <c r="D905" i="1"/>
  <c r="Q905" i="1" l="1"/>
  <c r="R905" i="1" s="1"/>
  <c r="L905" i="1"/>
  <c r="M905" i="1" s="1"/>
  <c r="E905" i="1"/>
  <c r="P906" i="1" l="1"/>
  <c r="S906" i="1"/>
  <c r="K906" i="1"/>
  <c r="N906" i="1"/>
  <c r="T906" i="1" l="1"/>
  <c r="I906" i="1"/>
  <c r="C906" i="1"/>
  <c r="F906" i="1" l="1"/>
  <c r="G906" i="1" s="1"/>
  <c r="D906" i="1"/>
  <c r="L906" i="1" l="1"/>
  <c r="M906" i="1" s="1"/>
  <c r="Q906" i="1"/>
  <c r="R906" i="1" s="1"/>
  <c r="E906" i="1"/>
  <c r="N907" i="1" l="1"/>
  <c r="K907" i="1"/>
  <c r="P907" i="1"/>
  <c r="S907" i="1"/>
  <c r="T907" i="1" l="1"/>
  <c r="I907" i="1"/>
  <c r="C907" i="1"/>
  <c r="D907" i="1" l="1"/>
  <c r="F907" i="1"/>
  <c r="G907" i="1" s="1"/>
  <c r="L907" i="1" l="1"/>
  <c r="M907" i="1" s="1"/>
  <c r="Q907" i="1"/>
  <c r="R907" i="1" s="1"/>
  <c r="E907" i="1"/>
  <c r="N908" i="1" l="1"/>
  <c r="K908" i="1"/>
  <c r="P908" i="1"/>
  <c r="S908" i="1"/>
  <c r="T908" i="1" l="1"/>
  <c r="I908" i="1"/>
  <c r="C908" i="1"/>
  <c r="D908" i="1" l="1"/>
  <c r="F908" i="1"/>
  <c r="G908" i="1" s="1"/>
  <c r="Q908" i="1" l="1"/>
  <c r="R908" i="1" s="1"/>
  <c r="L908" i="1"/>
  <c r="M908" i="1" s="1"/>
  <c r="E908" i="1"/>
  <c r="P909" i="1" l="1"/>
  <c r="S909" i="1"/>
  <c r="N909" i="1"/>
  <c r="K909" i="1"/>
  <c r="T909" i="1" l="1"/>
  <c r="I909" i="1"/>
  <c r="C909" i="1"/>
  <c r="F909" i="1" l="1"/>
  <c r="G909" i="1" s="1"/>
  <c r="D909" i="1"/>
  <c r="L909" i="1" l="1"/>
  <c r="M909" i="1" s="1"/>
  <c r="Q909" i="1"/>
  <c r="R909" i="1" s="1"/>
  <c r="E909" i="1"/>
  <c r="N910" i="1" l="1"/>
  <c r="K910" i="1"/>
  <c r="S910" i="1"/>
  <c r="P910" i="1"/>
  <c r="T910" i="1" l="1"/>
  <c r="I910" i="1"/>
  <c r="C910" i="1"/>
  <c r="D910" i="1" l="1"/>
  <c r="F910" i="1"/>
  <c r="G910" i="1" s="1"/>
  <c r="L910" i="1" l="1"/>
  <c r="M910" i="1" s="1"/>
  <c r="E910" i="1"/>
  <c r="Q910" i="1"/>
  <c r="R910" i="1" s="1"/>
  <c r="K911" i="1" l="1"/>
  <c r="N911" i="1"/>
  <c r="P911" i="1"/>
  <c r="S911" i="1"/>
  <c r="T911" i="1" l="1"/>
  <c r="C911" i="1"/>
  <c r="I911" i="1"/>
  <c r="D911" i="1" l="1"/>
  <c r="F911" i="1"/>
  <c r="G911" i="1" s="1"/>
  <c r="L911" i="1" l="1"/>
  <c r="M911" i="1" s="1"/>
  <c r="Q911" i="1"/>
  <c r="R911" i="1" s="1"/>
  <c r="E911" i="1"/>
  <c r="K912" i="1" l="1"/>
  <c r="N912" i="1"/>
  <c r="S912" i="1"/>
  <c r="P912" i="1"/>
  <c r="T912" i="1" l="1"/>
  <c r="C912" i="1"/>
  <c r="I912" i="1"/>
  <c r="D912" i="1" l="1"/>
  <c r="F912" i="1"/>
  <c r="G912" i="1" s="1"/>
  <c r="Q912" i="1" l="1"/>
  <c r="R912" i="1" s="1"/>
  <c r="L912" i="1"/>
  <c r="M912" i="1" s="1"/>
  <c r="E912" i="1"/>
  <c r="S913" i="1" l="1"/>
  <c r="P913" i="1"/>
  <c r="N913" i="1"/>
  <c r="K913" i="1"/>
  <c r="T913" i="1" l="1"/>
  <c r="C913" i="1"/>
  <c r="I913" i="1"/>
  <c r="F913" i="1" l="1"/>
  <c r="G913" i="1" s="1"/>
  <c r="D913" i="1"/>
  <c r="L913" i="1" l="1"/>
  <c r="M913" i="1" s="1"/>
  <c r="E913" i="1"/>
  <c r="Q913" i="1"/>
  <c r="R913" i="1" s="1"/>
  <c r="K914" i="1" l="1"/>
  <c r="N914" i="1"/>
  <c r="P914" i="1"/>
  <c r="S914" i="1"/>
  <c r="T914" i="1" l="1"/>
  <c r="C914" i="1"/>
  <c r="I914" i="1"/>
  <c r="F914" i="1" l="1"/>
  <c r="G914" i="1" s="1"/>
  <c r="D914" i="1"/>
  <c r="L914" i="1" l="1"/>
  <c r="M914" i="1" s="1"/>
  <c r="Q914" i="1"/>
  <c r="R914" i="1" s="1"/>
  <c r="E914" i="1"/>
  <c r="K915" i="1" l="1"/>
  <c r="N915" i="1"/>
  <c r="S915" i="1"/>
  <c r="P915" i="1"/>
  <c r="T915" i="1" l="1"/>
  <c r="C915" i="1"/>
  <c r="I915" i="1"/>
  <c r="D915" i="1" l="1"/>
  <c r="F915" i="1"/>
  <c r="G915" i="1" s="1"/>
  <c r="L915" i="1" l="1"/>
  <c r="M915" i="1" s="1"/>
  <c r="Q915" i="1"/>
  <c r="R915" i="1" s="1"/>
  <c r="E915" i="1"/>
  <c r="K916" i="1" l="1"/>
  <c r="N916" i="1"/>
  <c r="P916" i="1"/>
  <c r="S916" i="1"/>
  <c r="T916" i="1" l="1"/>
  <c r="C916" i="1"/>
  <c r="I916" i="1"/>
  <c r="D916" i="1" l="1"/>
  <c r="F916" i="1"/>
  <c r="G916" i="1" s="1"/>
  <c r="Q916" i="1" l="1"/>
  <c r="R916" i="1" s="1"/>
  <c r="E916" i="1"/>
  <c r="L916" i="1"/>
  <c r="M916" i="1" s="1"/>
  <c r="S917" i="1" l="1"/>
  <c r="P917" i="1"/>
  <c r="K917" i="1"/>
  <c r="N917" i="1"/>
  <c r="T917" i="1" l="1"/>
  <c r="C917" i="1"/>
  <c r="I917" i="1"/>
  <c r="F917" i="1" l="1"/>
  <c r="G917" i="1" s="1"/>
  <c r="D917" i="1"/>
  <c r="L917" i="1" l="1"/>
  <c r="M917" i="1" s="1"/>
  <c r="Q917" i="1"/>
  <c r="R917" i="1" s="1"/>
  <c r="E917" i="1"/>
  <c r="K918" i="1" l="1"/>
  <c r="N918" i="1"/>
  <c r="S918" i="1"/>
  <c r="P918" i="1"/>
  <c r="T918" i="1" l="1"/>
  <c r="C918" i="1"/>
  <c r="I918" i="1"/>
  <c r="D918" i="1" l="1"/>
  <c r="F918" i="1"/>
  <c r="G918" i="1" s="1"/>
  <c r="L918" i="1" l="1"/>
  <c r="M918" i="1" s="1"/>
  <c r="Q918" i="1"/>
  <c r="R918" i="1" s="1"/>
  <c r="E918" i="1"/>
  <c r="N919" i="1" l="1"/>
  <c r="K919" i="1"/>
  <c r="S919" i="1"/>
  <c r="P919" i="1"/>
  <c r="T919" i="1" l="1"/>
  <c r="I919" i="1"/>
  <c r="C919" i="1"/>
  <c r="D919" i="1" l="1"/>
  <c r="F919" i="1"/>
  <c r="G919" i="1" s="1"/>
  <c r="L919" i="1" l="1"/>
  <c r="M919" i="1" s="1"/>
  <c r="Q919" i="1"/>
  <c r="R919" i="1" s="1"/>
  <c r="E919" i="1"/>
  <c r="K920" i="1" l="1"/>
  <c r="N920" i="1"/>
  <c r="P920" i="1"/>
  <c r="S920" i="1"/>
  <c r="T920" i="1" l="1"/>
  <c r="C920" i="1"/>
  <c r="I920" i="1"/>
  <c r="D920" i="1" l="1"/>
  <c r="F920" i="1"/>
  <c r="G920" i="1" s="1"/>
  <c r="Q920" i="1" l="1"/>
  <c r="R920" i="1" s="1"/>
  <c r="E920" i="1"/>
  <c r="L920" i="1"/>
  <c r="M920" i="1" s="1"/>
  <c r="S921" i="1" l="1"/>
  <c r="P921" i="1"/>
  <c r="K921" i="1"/>
  <c r="N921" i="1"/>
  <c r="T921" i="1" l="1"/>
  <c r="C921" i="1"/>
  <c r="I921" i="1"/>
  <c r="F921" i="1" l="1"/>
  <c r="G921" i="1" s="1"/>
  <c r="D921" i="1"/>
  <c r="Q921" i="1" l="1"/>
  <c r="R921" i="1" s="1"/>
  <c r="L921" i="1"/>
  <c r="M921" i="1" s="1"/>
  <c r="E921" i="1"/>
  <c r="S922" i="1" l="1"/>
  <c r="P922" i="1"/>
  <c r="K922" i="1"/>
  <c r="N922" i="1"/>
  <c r="T922" i="1" l="1"/>
  <c r="C922" i="1"/>
  <c r="I922" i="1"/>
  <c r="F922" i="1" l="1"/>
  <c r="G922" i="1" s="1"/>
  <c r="D922" i="1"/>
  <c r="L922" i="1" l="1"/>
  <c r="M922" i="1" s="1"/>
  <c r="Q922" i="1"/>
  <c r="R922" i="1" s="1"/>
  <c r="E922" i="1"/>
  <c r="K923" i="1" l="1"/>
  <c r="N923" i="1"/>
  <c r="S923" i="1"/>
  <c r="P923" i="1"/>
  <c r="T923" i="1" l="1"/>
  <c r="C923" i="1"/>
  <c r="I923" i="1"/>
  <c r="D923" i="1" l="1"/>
  <c r="F923" i="1"/>
  <c r="G923" i="1" s="1"/>
  <c r="L923" i="1" l="1"/>
  <c r="M923" i="1" s="1"/>
  <c r="Q923" i="1"/>
  <c r="R923" i="1" s="1"/>
  <c r="E923" i="1"/>
  <c r="N924" i="1" l="1"/>
  <c r="K924" i="1"/>
  <c r="S924" i="1"/>
  <c r="P924" i="1"/>
  <c r="T924" i="1" l="1"/>
  <c r="I924" i="1"/>
  <c r="C924" i="1"/>
  <c r="F924" i="1" l="1"/>
  <c r="G924" i="1" s="1"/>
  <c r="D924" i="1"/>
  <c r="Q924" i="1" l="1"/>
  <c r="R924" i="1" s="1"/>
  <c r="L924" i="1"/>
  <c r="M924" i="1" s="1"/>
  <c r="E924" i="1"/>
  <c r="P925" i="1" l="1"/>
  <c r="S925" i="1"/>
  <c r="K925" i="1"/>
  <c r="N925" i="1"/>
  <c r="T925" i="1" l="1"/>
  <c r="I925" i="1"/>
  <c r="C925" i="1"/>
  <c r="D925" i="1" l="1"/>
  <c r="F925" i="1"/>
  <c r="G925" i="1" s="1"/>
  <c r="L925" i="1" l="1"/>
  <c r="M925" i="1" s="1"/>
  <c r="Q925" i="1"/>
  <c r="R925" i="1" s="1"/>
  <c r="E925" i="1"/>
  <c r="N926" i="1" l="1"/>
  <c r="K926" i="1"/>
  <c r="P926" i="1"/>
  <c r="S926" i="1"/>
  <c r="T926" i="1" l="1"/>
  <c r="I926" i="1"/>
  <c r="C926" i="1"/>
  <c r="F926" i="1" l="1"/>
  <c r="G926" i="1" s="1"/>
  <c r="D926" i="1"/>
  <c r="L926" i="1" l="1"/>
  <c r="M926" i="1" s="1"/>
  <c r="Q926" i="1"/>
  <c r="R926" i="1" s="1"/>
  <c r="E926" i="1"/>
  <c r="K927" i="1" l="1"/>
  <c r="N927" i="1"/>
  <c r="S927" i="1"/>
  <c r="P927" i="1"/>
  <c r="T927" i="1" l="1"/>
  <c r="C927" i="1"/>
  <c r="I927" i="1"/>
  <c r="D927" i="1" l="1"/>
  <c r="F927" i="1"/>
  <c r="G927" i="1" s="1"/>
  <c r="L927" i="1" l="1"/>
  <c r="M927" i="1" s="1"/>
  <c r="Q927" i="1"/>
  <c r="R927" i="1" s="1"/>
  <c r="E927" i="1"/>
  <c r="N928" i="1" l="1"/>
  <c r="K928" i="1"/>
  <c r="S928" i="1"/>
  <c r="P928" i="1"/>
  <c r="T928" i="1" l="1"/>
  <c r="I928" i="1"/>
  <c r="C928" i="1"/>
  <c r="D928" i="1" l="1"/>
  <c r="F928" i="1"/>
  <c r="G928" i="1" s="1"/>
  <c r="Q928" i="1" l="1"/>
  <c r="R928" i="1" s="1"/>
  <c r="E928" i="1"/>
  <c r="L928" i="1"/>
  <c r="M928" i="1" s="1"/>
  <c r="P929" i="1" l="1"/>
  <c r="S929" i="1"/>
  <c r="K929" i="1"/>
  <c r="N929" i="1"/>
  <c r="T929" i="1" l="1"/>
  <c r="I929" i="1"/>
  <c r="C929" i="1"/>
  <c r="F929" i="1" l="1"/>
  <c r="G929" i="1" s="1"/>
  <c r="D929" i="1"/>
  <c r="L929" i="1" l="1"/>
  <c r="M929" i="1" s="1"/>
  <c r="Q929" i="1"/>
  <c r="R929" i="1" s="1"/>
  <c r="E929" i="1"/>
  <c r="N930" i="1" l="1"/>
  <c r="K930" i="1"/>
  <c r="P930" i="1"/>
  <c r="S930" i="1"/>
  <c r="T930" i="1" l="1"/>
  <c r="I930" i="1"/>
  <c r="C930" i="1"/>
  <c r="F930" i="1" l="1"/>
  <c r="G930" i="1" s="1"/>
  <c r="D930" i="1"/>
  <c r="L930" i="1" l="1"/>
  <c r="M930" i="1" s="1"/>
  <c r="Q930" i="1"/>
  <c r="R930" i="1" s="1"/>
  <c r="E930" i="1"/>
  <c r="N931" i="1" l="1"/>
  <c r="K931" i="1"/>
  <c r="P931" i="1"/>
  <c r="S931" i="1"/>
  <c r="T931" i="1" l="1"/>
  <c r="I931" i="1"/>
  <c r="C931" i="1"/>
  <c r="D931" i="1" l="1"/>
  <c r="F931" i="1"/>
  <c r="G931" i="1" s="1"/>
  <c r="Q931" i="1" l="1"/>
  <c r="R931" i="1" s="1"/>
  <c r="E931" i="1"/>
  <c r="L931" i="1"/>
  <c r="M931" i="1" s="1"/>
  <c r="P932" i="1" l="1"/>
  <c r="S932" i="1"/>
  <c r="N932" i="1"/>
  <c r="K932" i="1"/>
  <c r="T932" i="1" l="1"/>
  <c r="I932" i="1"/>
  <c r="C932" i="1"/>
  <c r="D932" i="1" l="1"/>
  <c r="F932" i="1"/>
  <c r="G932" i="1" s="1"/>
  <c r="Q932" i="1" l="1"/>
  <c r="R932" i="1" s="1"/>
  <c r="E932" i="1"/>
  <c r="L932" i="1"/>
  <c r="M932" i="1" s="1"/>
  <c r="P933" i="1" l="1"/>
  <c r="S933" i="1"/>
  <c r="K933" i="1"/>
  <c r="N933" i="1"/>
  <c r="T933" i="1" l="1"/>
  <c r="I933" i="1"/>
  <c r="C933" i="1"/>
  <c r="F933" i="1" l="1"/>
  <c r="G933" i="1" s="1"/>
  <c r="D933" i="1"/>
  <c r="L933" i="1" l="1"/>
  <c r="M933" i="1" s="1"/>
  <c r="Q933" i="1"/>
  <c r="R933" i="1" s="1"/>
  <c r="E933" i="1"/>
  <c r="N934" i="1" l="1"/>
  <c r="K934" i="1"/>
  <c r="P934" i="1"/>
  <c r="S934" i="1"/>
  <c r="T934" i="1" l="1"/>
  <c r="I934" i="1"/>
  <c r="C934" i="1"/>
  <c r="F934" i="1" l="1"/>
  <c r="G934" i="1" s="1"/>
  <c r="D934" i="1"/>
  <c r="L934" i="1" l="1"/>
  <c r="M934" i="1" s="1"/>
  <c r="Q934" i="1"/>
  <c r="R934" i="1" s="1"/>
  <c r="E934" i="1"/>
  <c r="N935" i="1" l="1"/>
  <c r="K935" i="1"/>
  <c r="P935" i="1"/>
  <c r="S935" i="1"/>
  <c r="T935" i="1" l="1"/>
  <c r="I935" i="1"/>
  <c r="C935" i="1"/>
  <c r="D935" i="1" l="1"/>
  <c r="F935" i="1"/>
  <c r="G935" i="1" s="1"/>
  <c r="L935" i="1" l="1"/>
  <c r="M935" i="1" s="1"/>
  <c r="Q935" i="1"/>
  <c r="R935" i="1" s="1"/>
  <c r="E935" i="1"/>
  <c r="K936" i="1" l="1"/>
  <c r="N936" i="1"/>
  <c r="S936" i="1"/>
  <c r="P936" i="1"/>
  <c r="T936" i="1" l="1"/>
  <c r="C936" i="1"/>
  <c r="I936" i="1"/>
  <c r="D936" i="1" l="1"/>
  <c r="F936" i="1"/>
  <c r="G936" i="1" s="1"/>
  <c r="Q936" i="1" l="1"/>
  <c r="R936" i="1" s="1"/>
  <c r="E936" i="1"/>
  <c r="L936" i="1"/>
  <c r="M936" i="1" s="1"/>
  <c r="S937" i="1" l="1"/>
  <c r="P937" i="1"/>
  <c r="N937" i="1"/>
  <c r="K937" i="1"/>
  <c r="T937" i="1" l="1"/>
  <c r="C937" i="1"/>
  <c r="I937" i="1"/>
  <c r="F937" i="1" l="1"/>
  <c r="G937" i="1" s="1"/>
  <c r="D937" i="1"/>
  <c r="Q937" i="1" l="1"/>
  <c r="R937" i="1" s="1"/>
  <c r="L937" i="1"/>
  <c r="M937" i="1" s="1"/>
  <c r="E937" i="1"/>
  <c r="P938" i="1" l="1"/>
  <c r="S938" i="1"/>
  <c r="K938" i="1"/>
  <c r="N938" i="1"/>
  <c r="T938" i="1" l="1"/>
  <c r="I938" i="1"/>
  <c r="C938" i="1"/>
  <c r="D938" i="1" l="1"/>
  <c r="F938" i="1"/>
  <c r="G938" i="1" s="1"/>
  <c r="L938" i="1" l="1"/>
  <c r="M938" i="1" s="1"/>
  <c r="Q938" i="1"/>
  <c r="R938" i="1" s="1"/>
  <c r="E938" i="1"/>
  <c r="N939" i="1" l="1"/>
  <c r="K939" i="1"/>
  <c r="P939" i="1"/>
  <c r="S939" i="1"/>
  <c r="T939" i="1" l="1"/>
  <c r="I939" i="1"/>
  <c r="C939" i="1"/>
  <c r="D939" i="1" l="1"/>
  <c r="F939" i="1"/>
  <c r="G939" i="1" s="1"/>
  <c r="L939" i="1" l="1"/>
  <c r="M939" i="1" s="1"/>
  <c r="Q939" i="1"/>
  <c r="R939" i="1" s="1"/>
  <c r="E939" i="1"/>
  <c r="N940" i="1" l="1"/>
  <c r="K940" i="1"/>
  <c r="P940" i="1"/>
  <c r="S940" i="1"/>
  <c r="T940" i="1" l="1"/>
  <c r="I940" i="1"/>
  <c r="C940" i="1"/>
  <c r="D940" i="1" l="1"/>
  <c r="F940" i="1"/>
  <c r="G940" i="1" s="1"/>
  <c r="Q940" i="1" l="1"/>
  <c r="R940" i="1" s="1"/>
  <c r="E940" i="1"/>
  <c r="L940" i="1"/>
  <c r="M940" i="1" s="1"/>
  <c r="P941" i="1" l="1"/>
  <c r="S941" i="1"/>
  <c r="N941" i="1"/>
  <c r="K941" i="1"/>
  <c r="T941" i="1" l="1"/>
  <c r="I941" i="1"/>
  <c r="C941" i="1"/>
  <c r="F941" i="1" l="1"/>
  <c r="G941" i="1" s="1"/>
  <c r="D941" i="1"/>
  <c r="Q941" i="1" l="1"/>
  <c r="R941" i="1" s="1"/>
  <c r="E941" i="1"/>
  <c r="L941" i="1"/>
  <c r="M941" i="1" s="1"/>
  <c r="S942" i="1" l="1"/>
  <c r="P942" i="1"/>
  <c r="N942" i="1"/>
  <c r="K942" i="1"/>
  <c r="T942" i="1" l="1"/>
  <c r="C942" i="1"/>
  <c r="I942" i="1"/>
  <c r="F942" i="1" l="1"/>
  <c r="G942" i="1" s="1"/>
  <c r="D942" i="1"/>
  <c r="L942" i="1" l="1"/>
  <c r="M942" i="1" s="1"/>
  <c r="E942" i="1"/>
  <c r="Q942" i="1"/>
  <c r="R942" i="1" s="1"/>
  <c r="K943" i="1" l="1"/>
  <c r="N943" i="1"/>
  <c r="P943" i="1"/>
  <c r="S943" i="1"/>
  <c r="T943" i="1" l="1"/>
  <c r="C943" i="1"/>
  <c r="I943" i="1"/>
  <c r="D943" i="1" l="1"/>
  <c r="F943" i="1"/>
  <c r="G943" i="1" s="1"/>
  <c r="L943" i="1" l="1"/>
  <c r="M943" i="1" s="1"/>
  <c r="E943" i="1"/>
  <c r="Q943" i="1"/>
  <c r="R943" i="1" s="1"/>
  <c r="K944" i="1" l="1"/>
  <c r="N944" i="1"/>
  <c r="S944" i="1"/>
  <c r="P944" i="1"/>
  <c r="T944" i="1" l="1"/>
  <c r="C944" i="1"/>
  <c r="I944" i="1"/>
  <c r="D944" i="1" l="1"/>
  <c r="F944" i="1"/>
  <c r="G944" i="1" s="1"/>
  <c r="E944" i="1" l="1"/>
  <c r="L944" i="1"/>
  <c r="M944" i="1" s="1"/>
  <c r="Q944" i="1"/>
  <c r="R944" i="1" s="1"/>
  <c r="S945" i="1" l="1"/>
  <c r="P945" i="1"/>
  <c r="N945" i="1"/>
  <c r="K945" i="1"/>
  <c r="T945" i="1" l="1"/>
  <c r="C945" i="1"/>
  <c r="I945" i="1"/>
  <c r="F945" i="1" l="1"/>
  <c r="G945" i="1" s="1"/>
  <c r="D945" i="1"/>
  <c r="L945" i="1" l="1"/>
  <c r="M945" i="1" s="1"/>
  <c r="Q945" i="1"/>
  <c r="R945" i="1" s="1"/>
  <c r="E945" i="1"/>
  <c r="K946" i="1" l="1"/>
  <c r="N946" i="1"/>
  <c r="P946" i="1"/>
  <c r="S946" i="1"/>
  <c r="T946" i="1" l="1"/>
  <c r="C946" i="1"/>
  <c r="I946" i="1"/>
  <c r="D946" i="1" l="1"/>
  <c r="F946" i="1"/>
  <c r="G946" i="1" s="1"/>
  <c r="L946" i="1" l="1"/>
  <c r="M946" i="1" s="1"/>
  <c r="Q946" i="1"/>
  <c r="R946" i="1" s="1"/>
  <c r="E946" i="1"/>
  <c r="K947" i="1" l="1"/>
  <c r="N947" i="1"/>
  <c r="S947" i="1"/>
  <c r="P947" i="1"/>
  <c r="T947" i="1" l="1"/>
  <c r="C947" i="1"/>
  <c r="I947" i="1"/>
  <c r="D947" i="1" l="1"/>
  <c r="F947" i="1"/>
  <c r="G947" i="1" s="1"/>
  <c r="E947" i="1" l="1"/>
  <c r="L947" i="1"/>
  <c r="M947" i="1" s="1"/>
  <c r="Q947" i="1"/>
  <c r="R947" i="1" s="1"/>
  <c r="P948" i="1" l="1"/>
  <c r="S948" i="1"/>
  <c r="K948" i="1"/>
  <c r="N948" i="1"/>
  <c r="T948" i="1" l="1"/>
  <c r="I948" i="1"/>
  <c r="C948" i="1"/>
  <c r="D948" i="1" l="1"/>
  <c r="F948" i="1"/>
  <c r="G948" i="1" s="1"/>
  <c r="Q948" i="1" l="1"/>
  <c r="R948" i="1" s="1"/>
  <c r="E948" i="1"/>
  <c r="L948" i="1"/>
  <c r="M948" i="1" s="1"/>
  <c r="P949" i="1" l="1"/>
  <c r="S949" i="1"/>
  <c r="N949" i="1"/>
  <c r="K949" i="1"/>
  <c r="T949" i="1" l="1"/>
  <c r="I949" i="1"/>
  <c r="C949" i="1"/>
  <c r="F949" i="1" l="1"/>
  <c r="G949" i="1" s="1"/>
  <c r="D949" i="1"/>
  <c r="L949" i="1" l="1"/>
  <c r="M949" i="1" s="1"/>
  <c r="Q949" i="1"/>
  <c r="R949" i="1" s="1"/>
  <c r="E949" i="1"/>
  <c r="N950" i="1" l="1"/>
  <c r="K950" i="1"/>
  <c r="S950" i="1"/>
  <c r="P950" i="1"/>
  <c r="T950" i="1" l="1"/>
  <c r="I950" i="1"/>
  <c r="C950" i="1"/>
  <c r="F950" i="1" l="1"/>
  <c r="G950" i="1" s="1"/>
  <c r="D950" i="1"/>
  <c r="L950" i="1" l="1"/>
  <c r="M950" i="1" s="1"/>
  <c r="Q950" i="1"/>
  <c r="R950" i="1" s="1"/>
  <c r="E950" i="1"/>
  <c r="K951" i="1" l="1"/>
  <c r="N951" i="1"/>
  <c r="P951" i="1"/>
  <c r="S951" i="1"/>
  <c r="T951" i="1" l="1"/>
  <c r="C951" i="1"/>
  <c r="I951" i="1"/>
  <c r="F951" i="1" l="1"/>
  <c r="G951" i="1" s="1"/>
  <c r="D951" i="1"/>
  <c r="E951" i="1" l="1"/>
  <c r="L951" i="1"/>
  <c r="M951" i="1" s="1"/>
  <c r="Q951" i="1"/>
  <c r="R951" i="1" s="1"/>
  <c r="S952" i="1" l="1"/>
  <c r="P952" i="1"/>
  <c r="K952" i="1"/>
  <c r="N952" i="1"/>
  <c r="T952" i="1" l="1"/>
  <c r="C952" i="1"/>
  <c r="I952" i="1"/>
  <c r="D952" i="1" l="1"/>
  <c r="F952" i="1"/>
  <c r="G952" i="1" s="1"/>
  <c r="Q952" i="1" l="1"/>
  <c r="R952" i="1" s="1"/>
  <c r="E952" i="1"/>
  <c r="L952" i="1"/>
  <c r="M952" i="1" s="1"/>
  <c r="S953" i="1" l="1"/>
  <c r="P953" i="1"/>
  <c r="K953" i="1"/>
  <c r="N953" i="1"/>
  <c r="T953" i="1" l="1"/>
  <c r="C953" i="1"/>
  <c r="I953" i="1"/>
  <c r="F953" i="1" l="1"/>
  <c r="G953" i="1" s="1"/>
  <c r="D953" i="1"/>
  <c r="Q953" i="1" l="1"/>
  <c r="R953" i="1" s="1"/>
  <c r="L953" i="1"/>
  <c r="M953" i="1" s="1"/>
  <c r="E953" i="1"/>
  <c r="P954" i="1" l="1"/>
  <c r="S954" i="1"/>
  <c r="N954" i="1"/>
  <c r="K954" i="1"/>
  <c r="T954" i="1" l="1"/>
  <c r="I954" i="1"/>
  <c r="C954" i="1"/>
  <c r="F954" i="1" l="1"/>
  <c r="G954" i="1" s="1"/>
  <c r="D954" i="1"/>
  <c r="L954" i="1" l="1"/>
  <c r="M954" i="1" s="1"/>
  <c r="Q954" i="1"/>
  <c r="R954" i="1" s="1"/>
  <c r="E954" i="1"/>
  <c r="K955" i="1" l="1"/>
  <c r="N955" i="1"/>
  <c r="P955" i="1"/>
  <c r="S955" i="1"/>
  <c r="T955" i="1" l="1"/>
  <c r="C955" i="1"/>
  <c r="I955" i="1"/>
  <c r="D955" i="1" l="1"/>
  <c r="F955" i="1"/>
  <c r="G955" i="1" s="1"/>
  <c r="E955" i="1" l="1"/>
  <c r="L955" i="1"/>
  <c r="M955" i="1" s="1"/>
  <c r="Q955" i="1"/>
  <c r="R955" i="1" s="1"/>
  <c r="S956" i="1" l="1"/>
  <c r="P956" i="1"/>
  <c r="K956" i="1"/>
  <c r="N956" i="1"/>
  <c r="T956" i="1" l="1"/>
  <c r="C956" i="1"/>
  <c r="I956" i="1"/>
  <c r="D956" i="1" l="1"/>
  <c r="F956" i="1"/>
  <c r="G956" i="1" s="1"/>
  <c r="Q956" i="1" l="1"/>
  <c r="R956" i="1" s="1"/>
  <c r="L956" i="1"/>
  <c r="M956" i="1" s="1"/>
  <c r="E956" i="1"/>
  <c r="S957" i="1" l="1"/>
  <c r="P957" i="1"/>
  <c r="K957" i="1"/>
  <c r="N957" i="1"/>
  <c r="T957" i="1" l="1"/>
  <c r="C957" i="1"/>
  <c r="I957" i="1"/>
  <c r="D957" i="1" l="1"/>
  <c r="F957" i="1"/>
  <c r="G957" i="1" s="1"/>
  <c r="Q957" i="1" l="1"/>
  <c r="R957" i="1" s="1"/>
  <c r="L957" i="1"/>
  <c r="M957" i="1" s="1"/>
  <c r="E957" i="1"/>
  <c r="P958" i="1" l="1"/>
  <c r="S958" i="1"/>
  <c r="N958" i="1"/>
  <c r="K958" i="1"/>
  <c r="T958" i="1" l="1"/>
  <c r="I958" i="1"/>
  <c r="C958" i="1"/>
  <c r="F958" i="1" l="1"/>
  <c r="G958" i="1" s="1"/>
  <c r="D958" i="1"/>
  <c r="L958" i="1" l="1"/>
  <c r="M958" i="1" s="1"/>
  <c r="E958" i="1"/>
  <c r="Q958" i="1"/>
  <c r="R958" i="1" s="1"/>
  <c r="K959" i="1" l="1"/>
  <c r="N959" i="1"/>
  <c r="P959" i="1"/>
  <c r="S959" i="1"/>
  <c r="T959" i="1" l="1"/>
  <c r="C959" i="1"/>
  <c r="I959" i="1"/>
  <c r="D959" i="1" l="1"/>
  <c r="F959" i="1"/>
  <c r="G959" i="1" s="1"/>
  <c r="L959" i="1" l="1"/>
  <c r="M959" i="1" s="1"/>
  <c r="Q959" i="1"/>
  <c r="R959" i="1" s="1"/>
  <c r="E959" i="1"/>
  <c r="K960" i="1" l="1"/>
  <c r="N960" i="1"/>
  <c r="S960" i="1"/>
  <c r="P960" i="1"/>
  <c r="T960" i="1" l="1"/>
  <c r="C960" i="1"/>
  <c r="I960" i="1"/>
  <c r="D960" i="1" l="1"/>
  <c r="F960" i="1"/>
  <c r="G960" i="1" s="1"/>
  <c r="Q960" i="1" l="1"/>
  <c r="R960" i="1" s="1"/>
  <c r="E960" i="1"/>
  <c r="L960" i="1"/>
  <c r="M960" i="1" s="1"/>
  <c r="P961" i="1" l="1"/>
  <c r="S961" i="1"/>
  <c r="K961" i="1"/>
  <c r="N961" i="1"/>
  <c r="T961" i="1" l="1"/>
  <c r="I961" i="1"/>
  <c r="C961" i="1"/>
  <c r="F961" i="1" l="1"/>
  <c r="G961" i="1" s="1"/>
  <c r="D961" i="1"/>
  <c r="L961" i="1" l="1"/>
  <c r="M961" i="1" s="1"/>
  <c r="E961" i="1"/>
  <c r="Q961" i="1"/>
  <c r="R961" i="1" s="1"/>
  <c r="N962" i="1" l="1"/>
  <c r="K962" i="1"/>
  <c r="P962" i="1"/>
  <c r="S962" i="1"/>
  <c r="T962" i="1" l="1"/>
  <c r="I962" i="1"/>
  <c r="C962" i="1"/>
  <c r="F962" i="1" l="1"/>
  <c r="G962" i="1" s="1"/>
  <c r="D962" i="1"/>
  <c r="L962" i="1" l="1"/>
  <c r="M962" i="1" s="1"/>
  <c r="Q962" i="1"/>
  <c r="R962" i="1" s="1"/>
  <c r="E962" i="1"/>
  <c r="N963" i="1" l="1"/>
  <c r="K963" i="1"/>
  <c r="P963" i="1"/>
  <c r="S963" i="1"/>
  <c r="T963" i="1" l="1"/>
  <c r="I963" i="1"/>
  <c r="C963" i="1"/>
  <c r="F963" i="1" l="1"/>
  <c r="G963" i="1" s="1"/>
  <c r="D963" i="1"/>
  <c r="E963" i="1" l="1"/>
  <c r="L963" i="1"/>
  <c r="M963" i="1" s="1"/>
  <c r="Q963" i="1"/>
  <c r="R963" i="1" s="1"/>
  <c r="P964" i="1" l="1"/>
  <c r="S964" i="1"/>
  <c r="N964" i="1"/>
  <c r="K964" i="1"/>
  <c r="T964" i="1" l="1"/>
  <c r="I964" i="1"/>
  <c r="C964" i="1"/>
  <c r="D964" i="1" l="1"/>
  <c r="F964" i="1"/>
  <c r="G964" i="1" s="1"/>
  <c r="Q964" i="1" l="1"/>
  <c r="R964" i="1" s="1"/>
  <c r="E964" i="1"/>
  <c r="L964" i="1"/>
  <c r="M964" i="1" s="1"/>
  <c r="S965" i="1" l="1"/>
  <c r="P965" i="1"/>
  <c r="N965" i="1"/>
  <c r="K965" i="1"/>
  <c r="T965" i="1" l="1"/>
  <c r="C965" i="1"/>
  <c r="I965" i="1"/>
  <c r="F965" i="1" l="1"/>
  <c r="G965" i="1" s="1"/>
  <c r="D965" i="1"/>
  <c r="L965" i="1" l="1"/>
  <c r="M965" i="1" s="1"/>
  <c r="Q965" i="1"/>
  <c r="R965" i="1" s="1"/>
  <c r="E965" i="1"/>
  <c r="K966" i="1" l="1"/>
  <c r="N966" i="1"/>
  <c r="P966" i="1"/>
  <c r="S966" i="1"/>
  <c r="T966" i="1" l="1"/>
  <c r="C966" i="1"/>
  <c r="I966" i="1"/>
  <c r="F966" i="1" l="1"/>
  <c r="G966" i="1" s="1"/>
  <c r="D966" i="1"/>
  <c r="Q966" i="1" l="1"/>
  <c r="R966" i="1" s="1"/>
  <c r="L966" i="1"/>
  <c r="M966" i="1" s="1"/>
  <c r="E966" i="1"/>
  <c r="S967" i="1" l="1"/>
  <c r="P967" i="1"/>
  <c r="K967" i="1"/>
  <c r="N967" i="1"/>
  <c r="T967" i="1" l="1"/>
  <c r="C967" i="1"/>
  <c r="I967" i="1"/>
  <c r="F967" i="1" l="1"/>
  <c r="G967" i="1" s="1"/>
  <c r="D967" i="1"/>
  <c r="L967" i="1" l="1"/>
  <c r="M967" i="1" s="1"/>
  <c r="Q967" i="1"/>
  <c r="R967" i="1" s="1"/>
  <c r="E967" i="1"/>
  <c r="K968" i="1" l="1"/>
  <c r="N968" i="1"/>
  <c r="S968" i="1"/>
  <c r="P968" i="1"/>
  <c r="T968" i="1" l="1"/>
  <c r="C968" i="1"/>
  <c r="I968" i="1"/>
  <c r="D968" i="1" l="1"/>
  <c r="F968" i="1"/>
  <c r="G968" i="1" s="1"/>
  <c r="Q968" i="1" l="1"/>
  <c r="R968" i="1" s="1"/>
  <c r="E968" i="1"/>
  <c r="L968" i="1"/>
  <c r="M968" i="1" s="1"/>
  <c r="S969" i="1" l="1"/>
  <c r="P969" i="1"/>
  <c r="N969" i="1"/>
  <c r="K969" i="1"/>
  <c r="T969" i="1" l="1"/>
  <c r="C969" i="1"/>
  <c r="I969" i="1"/>
  <c r="F969" i="1" l="1"/>
  <c r="G969" i="1" s="1"/>
  <c r="D969" i="1"/>
  <c r="E969" i="1" l="1"/>
  <c r="Q969" i="1"/>
  <c r="R969" i="1" s="1"/>
  <c r="L969" i="1"/>
  <c r="M969" i="1" s="1"/>
  <c r="K970" i="1" l="1"/>
  <c r="N970" i="1"/>
  <c r="P970" i="1"/>
  <c r="S970" i="1"/>
  <c r="T970" i="1" l="1"/>
  <c r="C970" i="1"/>
  <c r="I970" i="1"/>
  <c r="F970" i="1" l="1"/>
  <c r="G970" i="1" s="1"/>
  <c r="D970" i="1"/>
  <c r="Q970" i="1" l="1"/>
  <c r="R970" i="1" s="1"/>
  <c r="L970" i="1"/>
  <c r="M970" i="1" s="1"/>
  <c r="E970" i="1"/>
  <c r="S971" i="1" l="1"/>
  <c r="P971" i="1"/>
  <c r="K971" i="1"/>
  <c r="N971" i="1"/>
  <c r="T971" i="1" l="1"/>
  <c r="C971" i="1"/>
  <c r="I971" i="1"/>
  <c r="D971" i="1" l="1"/>
  <c r="F971" i="1"/>
  <c r="G971" i="1" s="1"/>
  <c r="L971" i="1" l="1"/>
  <c r="M971" i="1" s="1"/>
  <c r="Q971" i="1"/>
  <c r="R971" i="1" s="1"/>
  <c r="E971" i="1"/>
  <c r="N972" i="1" l="1"/>
  <c r="K972" i="1"/>
  <c r="P972" i="1"/>
  <c r="S972" i="1"/>
  <c r="T972" i="1" l="1"/>
  <c r="I972" i="1"/>
  <c r="C972" i="1"/>
  <c r="D972" i="1" l="1"/>
  <c r="F972" i="1"/>
  <c r="G972" i="1" s="1"/>
  <c r="Q972" i="1" l="1"/>
  <c r="R972" i="1" s="1"/>
  <c r="E972" i="1"/>
  <c r="L972" i="1"/>
  <c r="M972" i="1" s="1"/>
  <c r="P973" i="1" l="1"/>
  <c r="S973" i="1"/>
  <c r="N973" i="1"/>
  <c r="K973" i="1"/>
  <c r="T973" i="1" l="1"/>
  <c r="I973" i="1"/>
  <c r="C973" i="1"/>
  <c r="F973" i="1" l="1"/>
  <c r="G973" i="1" s="1"/>
  <c r="D973" i="1"/>
  <c r="E973" i="1" l="1"/>
  <c r="L973" i="1"/>
  <c r="M973" i="1" s="1"/>
  <c r="Q973" i="1"/>
  <c r="R973" i="1" s="1"/>
  <c r="S974" i="1" l="1"/>
  <c r="P974" i="1"/>
  <c r="N974" i="1"/>
  <c r="K974" i="1"/>
  <c r="T974" i="1" l="1"/>
  <c r="C974" i="1"/>
  <c r="I974" i="1"/>
  <c r="F974" i="1" l="1"/>
  <c r="G974" i="1" s="1"/>
  <c r="D974" i="1"/>
  <c r="Q974" i="1" l="1"/>
  <c r="R974" i="1" s="1"/>
  <c r="L974" i="1"/>
  <c r="M974" i="1" s="1"/>
  <c r="E974" i="1"/>
  <c r="P975" i="1" l="1"/>
  <c r="S975" i="1"/>
  <c r="K975" i="1"/>
  <c r="N975" i="1"/>
  <c r="T975" i="1" l="1"/>
  <c r="I975" i="1"/>
  <c r="C975" i="1"/>
  <c r="D975" i="1" l="1"/>
  <c r="F975" i="1"/>
  <c r="G975" i="1" s="1"/>
  <c r="L975" i="1" l="1"/>
  <c r="M975" i="1" s="1"/>
  <c r="Q975" i="1"/>
  <c r="R975" i="1" s="1"/>
  <c r="E975" i="1"/>
  <c r="N976" i="1" l="1"/>
  <c r="K976" i="1"/>
  <c r="P976" i="1"/>
  <c r="S976" i="1"/>
  <c r="T976" i="1" l="1"/>
  <c r="I976" i="1"/>
  <c r="C976" i="1"/>
  <c r="D976" i="1" l="1"/>
  <c r="F976" i="1"/>
  <c r="G976" i="1" s="1"/>
  <c r="Q976" i="1" l="1"/>
  <c r="R976" i="1" s="1"/>
  <c r="E976" i="1"/>
  <c r="L976" i="1"/>
  <c r="M976" i="1" s="1"/>
  <c r="P977" i="1" l="1"/>
  <c r="S977" i="1"/>
  <c r="N977" i="1"/>
  <c r="K977" i="1"/>
  <c r="T977" i="1" l="1"/>
  <c r="I977" i="1"/>
  <c r="C977" i="1"/>
  <c r="F977" i="1" l="1"/>
  <c r="G977" i="1" s="1"/>
  <c r="D977" i="1"/>
  <c r="E977" i="1" l="1"/>
  <c r="Q977" i="1"/>
  <c r="R977" i="1" s="1"/>
  <c r="L977" i="1"/>
  <c r="M977" i="1" s="1"/>
  <c r="N978" i="1" l="1"/>
  <c r="K978" i="1"/>
  <c r="S978" i="1"/>
  <c r="P978" i="1"/>
  <c r="T978" i="1" l="1"/>
  <c r="I978" i="1"/>
  <c r="C978" i="1"/>
  <c r="F978" i="1" l="1"/>
  <c r="G978" i="1" s="1"/>
  <c r="D978" i="1"/>
  <c r="Q978" i="1" l="1"/>
  <c r="R978" i="1" s="1"/>
  <c r="L978" i="1"/>
  <c r="M978" i="1" s="1"/>
  <c r="E978" i="1"/>
  <c r="P979" i="1" l="1"/>
  <c r="S979" i="1"/>
  <c r="K979" i="1"/>
  <c r="N979" i="1"/>
  <c r="T979" i="1" l="1"/>
  <c r="I979" i="1"/>
  <c r="C979" i="1"/>
  <c r="D979" i="1" l="1"/>
  <c r="F979" i="1"/>
  <c r="G979" i="1" s="1"/>
  <c r="L979" i="1" l="1"/>
  <c r="M979" i="1" s="1"/>
  <c r="E979" i="1"/>
  <c r="Q979" i="1"/>
  <c r="R979" i="1" s="1"/>
  <c r="N980" i="1" l="1"/>
  <c r="K980" i="1"/>
  <c r="P980" i="1"/>
  <c r="S980" i="1"/>
  <c r="T980" i="1" l="1"/>
  <c r="I980" i="1"/>
  <c r="C980" i="1"/>
  <c r="D980" i="1" l="1"/>
  <c r="F980" i="1"/>
  <c r="G980" i="1" s="1"/>
  <c r="Q980" i="1" l="1"/>
  <c r="R980" i="1" s="1"/>
  <c r="E980" i="1"/>
  <c r="L980" i="1"/>
  <c r="M980" i="1" s="1"/>
  <c r="S981" i="1" l="1"/>
  <c r="P981" i="1"/>
  <c r="K981" i="1"/>
  <c r="N981" i="1"/>
  <c r="T981" i="1" l="1"/>
  <c r="C981" i="1"/>
  <c r="I981" i="1"/>
  <c r="F981" i="1" l="1"/>
  <c r="G981" i="1" s="1"/>
  <c r="D981" i="1"/>
  <c r="E981" i="1" l="1"/>
  <c r="L981" i="1"/>
  <c r="M981" i="1" s="1"/>
  <c r="Q981" i="1"/>
  <c r="R981" i="1" s="1"/>
  <c r="S982" i="1" l="1"/>
  <c r="P982" i="1"/>
  <c r="K982" i="1"/>
  <c r="N982" i="1"/>
  <c r="T982" i="1" l="1"/>
  <c r="C982" i="1"/>
  <c r="I982" i="1"/>
  <c r="D982" i="1" l="1"/>
  <c r="F982" i="1"/>
  <c r="G982" i="1" s="1"/>
  <c r="Q982" i="1" l="1"/>
  <c r="R982" i="1" s="1"/>
  <c r="E982" i="1"/>
  <c r="L982" i="1"/>
  <c r="M982" i="1" s="1"/>
  <c r="S983" i="1" l="1"/>
  <c r="P983" i="1"/>
  <c r="K983" i="1"/>
  <c r="N983" i="1"/>
  <c r="T983" i="1" l="1"/>
  <c r="C983" i="1"/>
  <c r="I983" i="1"/>
  <c r="D983" i="1" l="1"/>
  <c r="F983" i="1"/>
  <c r="G983" i="1" s="1"/>
  <c r="Q983" i="1" l="1"/>
  <c r="R983" i="1" s="1"/>
  <c r="E983" i="1"/>
  <c r="L983" i="1"/>
  <c r="M983" i="1" s="1"/>
  <c r="P984" i="1" l="1"/>
  <c r="S984" i="1"/>
  <c r="N984" i="1"/>
  <c r="K984" i="1"/>
  <c r="T984" i="1" l="1"/>
  <c r="I984" i="1"/>
  <c r="C984" i="1"/>
  <c r="D984" i="1" l="1"/>
  <c r="F984" i="1"/>
  <c r="G984" i="1" s="1"/>
  <c r="E984" i="1" l="1"/>
  <c r="L984" i="1"/>
  <c r="M984" i="1" s="1"/>
  <c r="Q984" i="1"/>
  <c r="R984" i="1" s="1"/>
  <c r="S985" i="1" l="1"/>
  <c r="P985" i="1"/>
  <c r="N985" i="1"/>
  <c r="K985" i="1"/>
  <c r="T985" i="1" l="1"/>
  <c r="C985" i="1"/>
  <c r="I985" i="1"/>
  <c r="F985" i="1" l="1"/>
  <c r="G985" i="1" s="1"/>
  <c r="D985" i="1"/>
  <c r="E985" i="1" l="1"/>
  <c r="L985" i="1"/>
  <c r="M985" i="1" s="1"/>
  <c r="Q985" i="1"/>
  <c r="R985" i="1" s="1"/>
  <c r="P986" i="1" l="1"/>
  <c r="S986" i="1"/>
  <c r="K986" i="1"/>
  <c r="N986" i="1"/>
  <c r="T986" i="1" l="1"/>
  <c r="I986" i="1"/>
  <c r="C986" i="1"/>
  <c r="F986" i="1" l="1"/>
  <c r="G986" i="1" s="1"/>
  <c r="D986" i="1"/>
  <c r="L986" i="1" l="1"/>
  <c r="M986" i="1" s="1"/>
  <c r="Q986" i="1"/>
  <c r="R986" i="1" s="1"/>
  <c r="E986" i="1"/>
  <c r="N987" i="1" l="1"/>
  <c r="K987" i="1"/>
  <c r="P987" i="1"/>
  <c r="S987" i="1"/>
  <c r="T987" i="1" l="1"/>
  <c r="I987" i="1"/>
  <c r="C987" i="1"/>
  <c r="D987" i="1" l="1"/>
  <c r="F987" i="1"/>
  <c r="G987" i="1" s="1"/>
  <c r="Q987" i="1" l="1"/>
  <c r="R987" i="1" s="1"/>
  <c r="E987" i="1"/>
  <c r="L987" i="1"/>
  <c r="M987" i="1" s="1"/>
  <c r="S988" i="1" l="1"/>
  <c r="P988" i="1"/>
  <c r="K988" i="1"/>
  <c r="N988" i="1"/>
  <c r="T988" i="1" l="1"/>
  <c r="C988" i="1"/>
  <c r="I988" i="1"/>
  <c r="F988" i="1" l="1"/>
  <c r="G988" i="1" s="1"/>
  <c r="D988" i="1"/>
  <c r="L988" i="1" l="1"/>
  <c r="M988" i="1" s="1"/>
  <c r="Q988" i="1"/>
  <c r="R988" i="1" s="1"/>
  <c r="E988" i="1"/>
  <c r="K989" i="1" l="1"/>
  <c r="N989" i="1"/>
  <c r="S989" i="1"/>
  <c r="P989" i="1"/>
  <c r="T989" i="1" l="1"/>
  <c r="C989" i="1"/>
  <c r="I989" i="1"/>
  <c r="F989" i="1" l="1"/>
  <c r="G989" i="1" s="1"/>
  <c r="D989" i="1"/>
  <c r="L989" i="1" l="1"/>
  <c r="M989" i="1" s="1"/>
  <c r="Q989" i="1"/>
  <c r="R989" i="1" s="1"/>
  <c r="E989" i="1"/>
  <c r="N990" i="1" l="1"/>
  <c r="K990" i="1"/>
  <c r="S990" i="1"/>
  <c r="P990" i="1"/>
  <c r="T990" i="1" l="1"/>
  <c r="I990" i="1"/>
  <c r="C990" i="1"/>
  <c r="F990" i="1" l="1"/>
  <c r="G990" i="1" s="1"/>
  <c r="D990" i="1"/>
  <c r="L990" i="1" l="1"/>
  <c r="M990" i="1" s="1"/>
  <c r="Q990" i="1"/>
  <c r="R990" i="1" s="1"/>
  <c r="E990" i="1"/>
  <c r="K991" i="1" l="1"/>
  <c r="N991" i="1"/>
  <c r="P991" i="1"/>
  <c r="S991" i="1"/>
  <c r="T991" i="1" l="1"/>
  <c r="C991" i="1"/>
  <c r="I991" i="1"/>
  <c r="D991" i="1" l="1"/>
  <c r="F991" i="1"/>
  <c r="G991" i="1" s="1"/>
  <c r="Q991" i="1" l="1"/>
  <c r="R991" i="1" s="1"/>
  <c r="E991" i="1"/>
  <c r="L991" i="1"/>
  <c r="M991" i="1" s="1"/>
  <c r="S992" i="1" l="1"/>
  <c r="P992" i="1"/>
  <c r="K992" i="1"/>
  <c r="N992" i="1"/>
  <c r="T992" i="1" l="1"/>
  <c r="C992" i="1"/>
  <c r="I992" i="1"/>
  <c r="D992" i="1" l="1"/>
  <c r="F992" i="1"/>
  <c r="G992" i="1" s="1"/>
  <c r="E992" i="1" l="1"/>
  <c r="Q992" i="1"/>
  <c r="R992" i="1" s="1"/>
  <c r="L992" i="1"/>
  <c r="M992" i="1" s="1"/>
  <c r="K993" i="1" l="1"/>
  <c r="N993" i="1"/>
  <c r="S993" i="1"/>
  <c r="P993" i="1"/>
  <c r="T993" i="1" l="1"/>
  <c r="C993" i="1"/>
  <c r="I993" i="1"/>
  <c r="F993" i="1" l="1"/>
  <c r="G993" i="1" s="1"/>
  <c r="D993" i="1"/>
  <c r="E993" i="1" l="1"/>
  <c r="L993" i="1"/>
  <c r="M993" i="1" s="1"/>
  <c r="Q993" i="1"/>
  <c r="R993" i="1" s="1"/>
  <c r="S994" i="1" l="1"/>
  <c r="P994" i="1"/>
  <c r="N994" i="1"/>
  <c r="K994" i="1"/>
  <c r="T994" i="1" l="1"/>
  <c r="C994" i="1"/>
  <c r="I994" i="1"/>
  <c r="F994" i="1" l="1"/>
  <c r="G994" i="1" s="1"/>
  <c r="D994" i="1"/>
  <c r="L994" i="1" l="1"/>
  <c r="M994" i="1" s="1"/>
  <c r="E994" i="1"/>
  <c r="Q994" i="1"/>
  <c r="R994" i="1" s="1"/>
  <c r="K995" i="1" l="1"/>
  <c r="N995" i="1"/>
  <c r="P995" i="1"/>
  <c r="S995" i="1"/>
  <c r="T995" i="1" l="1"/>
  <c r="C995" i="1"/>
  <c r="I995" i="1"/>
  <c r="D995" i="1" l="1"/>
  <c r="F995" i="1"/>
  <c r="G995" i="1" s="1"/>
  <c r="Q995" i="1" l="1"/>
  <c r="R995" i="1" s="1"/>
  <c r="E995" i="1"/>
  <c r="L995" i="1"/>
  <c r="M995" i="1" s="1"/>
  <c r="S996" i="1" l="1"/>
  <c r="P996" i="1"/>
  <c r="K996" i="1"/>
  <c r="N996" i="1"/>
  <c r="T996" i="1" l="1"/>
  <c r="C996" i="1"/>
  <c r="I996" i="1"/>
  <c r="D996" i="1" l="1"/>
  <c r="F996" i="1"/>
  <c r="G996" i="1" s="1"/>
  <c r="L996" i="1" l="1"/>
  <c r="M996" i="1" s="1"/>
  <c r="Q996" i="1"/>
  <c r="R996" i="1" s="1"/>
  <c r="E996" i="1"/>
  <c r="K997" i="1" l="1"/>
  <c r="N997" i="1"/>
  <c r="S997" i="1"/>
  <c r="P997" i="1"/>
  <c r="T997" i="1" l="1"/>
  <c r="C997" i="1"/>
  <c r="I997" i="1"/>
  <c r="F997" i="1" l="1"/>
  <c r="G997" i="1" s="1"/>
  <c r="D997" i="1"/>
  <c r="L997" i="1" l="1"/>
  <c r="M997" i="1" s="1"/>
  <c r="E997" i="1"/>
  <c r="Q997" i="1"/>
  <c r="R997" i="1" s="1"/>
  <c r="N998" i="1" l="1"/>
  <c r="K998" i="1"/>
  <c r="S998" i="1"/>
  <c r="P998" i="1"/>
  <c r="T998" i="1" l="1"/>
  <c r="I998" i="1"/>
  <c r="C998" i="1"/>
  <c r="F998" i="1" l="1"/>
  <c r="G998" i="1" s="1"/>
  <c r="D998" i="1"/>
  <c r="L998" i="1" l="1"/>
  <c r="M998" i="1" s="1"/>
  <c r="Q998" i="1"/>
  <c r="R998" i="1" s="1"/>
  <c r="E998" i="1"/>
  <c r="K999" i="1" l="1"/>
  <c r="N999" i="1"/>
  <c r="P999" i="1"/>
  <c r="S999" i="1"/>
  <c r="T999" i="1" l="1"/>
  <c r="I999" i="1"/>
  <c r="C999" i="1"/>
  <c r="D999" i="1" l="1"/>
  <c r="F999" i="1"/>
  <c r="G999" i="1" s="1"/>
  <c r="Q999" i="1" l="1"/>
  <c r="R999" i="1" s="1"/>
  <c r="E999" i="1"/>
  <c r="L999" i="1"/>
  <c r="M999" i="1" s="1"/>
  <c r="P1000" i="1" l="1"/>
  <c r="S1000" i="1"/>
  <c r="N1000" i="1"/>
  <c r="K1000" i="1"/>
  <c r="T1000" i="1" l="1"/>
  <c r="W20" i="1" s="1"/>
  <c r="I1000" i="1"/>
  <c r="C1000" i="1"/>
  <c r="F1000" i="1" l="1"/>
  <c r="G1000" i="1" s="1"/>
  <c r="D1000" i="1"/>
  <c r="E1000" i="1" l="1"/>
  <c r="L1000" i="1"/>
  <c r="M1000" i="1" s="1"/>
  <c r="Q1000" i="1"/>
  <c r="R1000" i="1" s="1"/>
</calcChain>
</file>

<file path=xl/sharedStrings.xml><?xml version="1.0" encoding="utf-8"?>
<sst xmlns="http://schemas.openxmlformats.org/spreadsheetml/2006/main" count="47" uniqueCount="41">
  <si>
    <t>θ (radians)</t>
  </si>
  <si>
    <t>v (m/s)</t>
  </si>
  <si>
    <r>
      <t>F</t>
    </r>
    <r>
      <rPr>
        <vertAlign val="subscript"/>
        <sz val="12"/>
        <color theme="1"/>
        <rFont val="Calibri"/>
        <family val="2"/>
        <scheme val="minor"/>
      </rPr>
      <t>drag</t>
    </r>
    <r>
      <rPr>
        <sz val="12"/>
        <color theme="1"/>
        <rFont val="Calibri"/>
        <family val="2"/>
        <scheme val="minor"/>
      </rPr>
      <t xml:space="preserve"> (N)</t>
    </r>
  </si>
  <si>
    <r>
      <t>a</t>
    </r>
    <r>
      <rPr>
        <vertAlign val="subscript"/>
        <sz val="12"/>
        <color theme="1"/>
        <rFont val="Calibri"/>
        <family val="2"/>
        <scheme val="minor"/>
      </rPr>
      <t>drag</t>
    </r>
    <r>
      <rPr>
        <sz val="12"/>
        <color theme="1"/>
        <rFont val="Calibri"/>
        <family val="2"/>
        <scheme val="minor"/>
      </rPr>
      <t xml:space="preserve"> (m/s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)</t>
    </r>
  </si>
  <si>
    <r>
      <t>F</t>
    </r>
    <r>
      <rPr>
        <vertAlign val="subscript"/>
        <sz val="12"/>
        <color theme="1"/>
        <rFont val="Calibri"/>
        <family val="2"/>
        <scheme val="minor"/>
      </rPr>
      <t>lift</t>
    </r>
    <r>
      <rPr>
        <sz val="12"/>
        <color theme="1"/>
        <rFont val="Calibri"/>
        <family val="2"/>
        <scheme val="minor"/>
      </rPr>
      <t xml:space="preserve"> (N)</t>
    </r>
  </si>
  <si>
    <r>
      <t>a</t>
    </r>
    <r>
      <rPr>
        <vertAlign val="subscript"/>
        <sz val="12"/>
        <color theme="1"/>
        <rFont val="Calibri"/>
        <family val="2"/>
        <scheme val="minor"/>
      </rPr>
      <t>lift</t>
    </r>
    <r>
      <rPr>
        <sz val="12"/>
        <color theme="1"/>
        <rFont val="Calibri"/>
        <family val="2"/>
        <scheme val="minor"/>
      </rPr>
      <t xml:space="preserve"> (m/s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)</t>
    </r>
  </si>
  <si>
    <t>Total</t>
  </si>
  <si>
    <r>
      <t>a</t>
    </r>
    <r>
      <rPr>
        <vertAlign val="subscript"/>
        <sz val="12"/>
        <color theme="1"/>
        <rFont val="Calibri"/>
        <family val="2"/>
        <scheme val="minor"/>
      </rPr>
      <t>x</t>
    </r>
    <r>
      <rPr>
        <sz val="12"/>
        <color theme="1"/>
        <rFont val="Calibri"/>
        <family val="2"/>
        <scheme val="minor"/>
      </rPr>
      <t xml:space="preserve"> (m/s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)</t>
    </r>
  </si>
  <si>
    <r>
      <t>v</t>
    </r>
    <r>
      <rPr>
        <vertAlign val="subscript"/>
        <sz val="12"/>
        <color theme="1"/>
        <rFont val="Calibri"/>
        <family val="2"/>
        <scheme val="minor"/>
      </rPr>
      <t xml:space="preserve">x </t>
    </r>
    <r>
      <rPr>
        <sz val="12"/>
        <color theme="1"/>
        <rFont val="Calibri"/>
        <family val="2"/>
        <scheme val="minor"/>
      </rPr>
      <t>(m/s)</t>
    </r>
  </si>
  <si>
    <t>d (m)</t>
  </si>
  <si>
    <r>
      <t>v</t>
    </r>
    <r>
      <rPr>
        <vertAlign val="subscript"/>
        <sz val="12"/>
        <color theme="1"/>
        <rFont val="Calibri"/>
        <family val="2"/>
        <scheme val="minor"/>
      </rPr>
      <t xml:space="preserve">y </t>
    </r>
    <r>
      <rPr>
        <sz val="12"/>
        <color theme="1"/>
        <rFont val="Calibri"/>
        <family val="2"/>
        <scheme val="minor"/>
      </rPr>
      <t>(m/s)</t>
    </r>
  </si>
  <si>
    <r>
      <t>a</t>
    </r>
    <r>
      <rPr>
        <vertAlign val="subscript"/>
        <sz val="12"/>
        <color theme="1"/>
        <rFont val="Calibri"/>
        <family val="2"/>
        <scheme val="minor"/>
      </rPr>
      <t>y</t>
    </r>
    <r>
      <rPr>
        <sz val="12"/>
        <color theme="1"/>
        <rFont val="Calibri"/>
        <family val="2"/>
        <scheme val="minor"/>
      </rPr>
      <t xml:space="preserve"> (m/s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)</t>
    </r>
  </si>
  <si>
    <t>Constants</t>
  </si>
  <si>
    <t>Mass of Ball</t>
  </si>
  <si>
    <t>kg</t>
  </si>
  <si>
    <r>
      <t>C</t>
    </r>
    <r>
      <rPr>
        <vertAlign val="subscript"/>
        <sz val="11"/>
        <color theme="1"/>
        <rFont val="Calibri"/>
        <family val="2"/>
        <scheme val="minor"/>
      </rPr>
      <t>D</t>
    </r>
  </si>
  <si>
    <r>
      <t>C</t>
    </r>
    <r>
      <rPr>
        <vertAlign val="subscript"/>
        <sz val="11"/>
        <color theme="1"/>
        <rFont val="Calibri"/>
        <family val="2"/>
        <scheme val="minor"/>
      </rPr>
      <t>L</t>
    </r>
  </si>
  <si>
    <t>Diameter</t>
  </si>
  <si>
    <t>m</t>
  </si>
  <si>
    <t>Radius</t>
  </si>
  <si>
    <t>Area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</si>
  <si>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</si>
  <si>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Air Density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</si>
  <si>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</si>
  <si>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Initial Conditions</t>
  </si>
  <si>
    <t>θ</t>
  </si>
  <si>
    <t>°</t>
  </si>
  <si>
    <t>rads</t>
  </si>
  <si>
    <t>v</t>
  </si>
  <si>
    <t>m/s</t>
  </si>
  <si>
    <t>Timestep</t>
  </si>
  <si>
    <t>s</t>
  </si>
  <si>
    <t>t (s)</t>
  </si>
  <si>
    <t>X-Direction</t>
  </si>
  <si>
    <t>Y-Direction</t>
  </si>
  <si>
    <r>
      <t>v</t>
    </r>
    <r>
      <rPr>
        <strike/>
        <vertAlign val="subscript"/>
        <sz val="11"/>
        <color theme="1"/>
        <rFont val="Calibri"/>
        <family val="2"/>
        <scheme val="minor"/>
      </rPr>
      <t>ix</t>
    </r>
  </si>
  <si>
    <r>
      <t>v</t>
    </r>
    <r>
      <rPr>
        <strike/>
        <vertAlign val="subscript"/>
        <sz val="11"/>
        <color theme="1"/>
        <rFont val="Calibri"/>
        <family val="2"/>
        <scheme val="minor"/>
      </rPr>
      <t>iy</t>
    </r>
  </si>
  <si>
    <r>
      <t>F</t>
    </r>
    <r>
      <rPr>
        <vertAlign val="subscript"/>
        <sz val="12"/>
        <color theme="1"/>
        <rFont val="Calibri"/>
        <family val="2"/>
        <scheme val="minor"/>
      </rPr>
      <t>x</t>
    </r>
    <r>
      <rPr>
        <sz val="12"/>
        <color theme="1"/>
        <rFont val="Calibri"/>
        <family val="2"/>
        <scheme val="minor"/>
      </rPr>
      <t xml:space="preserve"> (N)</t>
    </r>
  </si>
  <si>
    <r>
      <t>F</t>
    </r>
    <r>
      <rPr>
        <vertAlign val="subscript"/>
        <sz val="12"/>
        <color theme="1"/>
        <rFont val="Calibri"/>
        <family val="2"/>
        <scheme val="minor"/>
      </rPr>
      <t>y</t>
    </r>
    <r>
      <rPr>
        <sz val="12"/>
        <color theme="1"/>
        <rFont val="Calibri"/>
        <family val="2"/>
        <scheme val="minor"/>
      </rPr>
      <t xml:space="preserve"> (N)</t>
    </r>
  </si>
  <si>
    <t>Check</t>
  </si>
  <si>
    <t>Range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</si>
</sst>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trike/>
      <vertAlign val="sub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2" xfId="0" applyFont="1" applyFill="1" applyBorder="1" applyAlignment="1">
      <alignment horizontal="right"/>
    </xf>
    <xf numFmtId="0" fontId="0" fillId="0" borderId="2" xfId="0" applyFill="1" applyBorder="1" applyAlignment="1">
      <alignment horizontal="left"/>
    </xf>
    <xf numFmtId="164" fontId="0" fillId="0" borderId="2" xfId="0" applyNumberFormat="1" applyBorder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5" xfId="0" applyFill="1" applyBorder="1" applyAlignment="1">
      <alignment horizontal="right"/>
    </xf>
    <xf numFmtId="0" fontId="0" fillId="0" borderId="5" xfId="0" applyFill="1" applyBorder="1" applyAlignment="1">
      <alignment horizontal="left"/>
    </xf>
    <xf numFmtId="164" fontId="4" fillId="0" borderId="0" xfId="0" applyNumberFormat="1" applyFont="1" applyAlignment="1">
      <alignment horizontal="center" vertical="center"/>
    </xf>
    <xf numFmtId="0" fontId="7" fillId="0" borderId="2" xfId="0" applyFont="1" applyFill="1" applyBorder="1" applyAlignment="1">
      <alignment horizontal="right"/>
    </xf>
    <xf numFmtId="164" fontId="7" fillId="0" borderId="2" xfId="0" applyNumberFormat="1" applyFont="1" applyBorder="1" applyAlignment="1">
      <alignment horizontal="center"/>
    </xf>
    <xf numFmtId="0" fontId="7" fillId="0" borderId="2" xfId="0" applyFont="1" applyFill="1" applyBorder="1" applyAlignment="1">
      <alignment horizontal="left"/>
    </xf>
    <xf numFmtId="0" fontId="4" fillId="2" borderId="6" xfId="0" applyFont="1" applyFill="1" applyBorder="1" applyAlignment="1">
      <alignment horizontal="right" vertical="center"/>
    </xf>
    <xf numFmtId="164" fontId="4" fillId="2" borderId="7" xfId="0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left" vertic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Golf Ball Trajectory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Sheet1!$N$5:$N$1000</c:f>
              <c:numCache>
                <c:formatCode>General</c:formatCode>
                <c:ptCount val="996"/>
                <c:pt idx="0" formatCode="0.000">
                  <c:v>0</c:v>
                </c:pt>
                <c:pt idx="1">
                  <c:v>0.69089572528977061</c:v>
                </c:pt>
                <c:pt idx="2">
                  <c:v>1.3779582705086031</c:v>
                </c:pt>
                <c:pt idx="3">
                  <c:v>2.0612195041935517</c:v>
                </c:pt>
                <c:pt idx="4">
                  <c:v>2.7407109723639742</c:v>
                </c:pt>
                <c:pt idx="5">
                  <c:v>3.4164639025448702</c:v>
                </c:pt>
                <c:pt idx="6">
                  <c:v>4.0885092077306657</c:v>
                </c:pt>
                <c:pt idx="7">
                  <c:v>4.7568774902904343</c:v>
                </c:pt>
                <c:pt idx="8">
                  <c:v>5.4215990458155314</c:v>
                </c:pt>
                <c:pt idx="9">
                  <c:v>6.0827038669106184</c:v>
                </c:pt>
                <c:pt idx="10">
                  <c:v>6.7402216469290037</c:v>
                </c:pt>
                <c:pt idx="11">
                  <c:v>7.3941817836532397</c:v>
                </c:pt>
                <c:pt idx="12">
                  <c:v>8.044613382921888</c:v>
                </c:pt>
                <c:pt idx="13">
                  <c:v>8.6915452622033342</c:v>
                </c:pt>
                <c:pt idx="14">
                  <c:v>9.3350059541175536</c:v>
                </c:pt>
                <c:pt idx="15">
                  <c:v>9.9750237099066652</c:v>
                </c:pt>
                <c:pt idx="16">
                  <c:v>10.611626502855142</c:v>
                </c:pt>
                <c:pt idx="17">
                  <c:v>11.244842031660504</c:v>
                </c:pt>
                <c:pt idx="18">
                  <c:v>11.874697723755304</c:v>
                </c:pt>
                <c:pt idx="19">
                  <c:v>12.501220738581221</c:v>
                </c:pt>
                <c:pt idx="20">
                  <c:v>13.124437970816036</c:v>
                </c:pt>
                <c:pt idx="21">
                  <c:v>13.744376053554284</c:v>
                </c:pt>
                <c:pt idx="22">
                  <c:v>14.361061361442314</c:v>
                </c:pt>
                <c:pt idx="23">
                  <c:v>14.974520013768533</c:v>
                </c:pt>
                <c:pt idx="24">
                  <c:v>15.584777877509552</c:v>
                </c:pt>
                <c:pt idx="25">
                  <c:v>16.191860570332956</c:v>
                </c:pt>
                <c:pt idx="26">
                  <c:v>16.795793463557402</c:v>
                </c:pt>
                <c:pt idx="27">
                  <c:v>17.396601685070749</c:v>
                </c:pt>
                <c:pt idx="28">
                  <c:v>17.994310122206894</c:v>
                </c:pt>
                <c:pt idx="29">
                  <c:v>18.588943424581981</c:v>
                </c:pt>
                <c:pt idx="30">
                  <c:v>19.18052600689067</c:v>
                </c:pt>
                <c:pt idx="31">
                  <c:v>19.769082051663052</c:v>
                </c:pt>
                <c:pt idx="32">
                  <c:v>20.354635511982913</c:v>
                </c:pt>
                <c:pt idx="33">
                  <c:v>20.937210114167932</c:v>
                </c:pt>
                <c:pt idx="34">
                  <c:v>21.516829360412416</c:v>
                </c:pt>
                <c:pt idx="35">
                  <c:v>22.093516531393213</c:v>
                </c:pt>
                <c:pt idx="36">
                  <c:v>22.667294688839352</c:v>
                </c:pt>
                <c:pt idx="37">
                  <c:v>23.238186678066015</c:v>
                </c:pt>
                <c:pt idx="38">
                  <c:v>23.806215130473422</c:v>
                </c:pt>
                <c:pt idx="39">
                  <c:v>24.371402466011144</c:v>
                </c:pt>
                <c:pt idx="40">
                  <c:v>24.933770895608422</c:v>
                </c:pt>
                <c:pt idx="41">
                  <c:v>25.493342423571068</c:v>
                </c:pt>
                <c:pt idx="42">
                  <c:v>26.050138849945391</c:v>
                </c:pt>
                <c:pt idx="43">
                  <c:v>26.604181772849763</c:v>
                </c:pt>
                <c:pt idx="44">
                  <c:v>27.155492590774273</c:v>
                </c:pt>
                <c:pt idx="45">
                  <c:v>27.704092504848994</c:v>
                </c:pt>
                <c:pt idx="46">
                  <c:v>28.250002521081356</c:v>
                </c:pt>
                <c:pt idx="47">
                  <c:v>28.793243452563136</c:v>
                </c:pt>
                <c:pt idx="48">
                  <c:v>29.333835921647466</c:v>
                </c:pt>
                <c:pt idx="49">
                  <c:v>29.871800362096433</c:v>
                </c:pt>
                <c:pt idx="50">
                  <c:v>30.407157021199637</c:v>
                </c:pt>
                <c:pt idx="51">
                  <c:v>30.939925961864219</c:v>
                </c:pt>
                <c:pt idx="52">
                  <c:v>31.470127064676785</c:v>
                </c:pt>
                <c:pt idx="53">
                  <c:v>31.997780029937648</c:v>
                </c:pt>
                <c:pt idx="54">
                  <c:v>32.522904379667835</c:v>
                </c:pt>
                <c:pt idx="55">
                  <c:v>33.0455194595893</c:v>
                </c:pt>
                <c:pt idx="56">
                  <c:v>33.565644441078675</c:v>
                </c:pt>
                <c:pt idx="57">
                  <c:v>34.083298323095107</c:v>
                </c:pt>
                <c:pt idx="58">
                  <c:v>34.598499934082405</c:v>
                </c:pt>
                <c:pt idx="59">
                  <c:v>35.111267933846079</c:v>
                </c:pt>
                <c:pt idx="60">
                  <c:v>35.621620815405471</c:v>
                </c:pt>
                <c:pt idx="61">
                  <c:v>36.129576906821526</c:v>
                </c:pt>
                <c:pt idx="62">
                  <c:v>36.635154373000439</c:v>
                </c:pt>
                <c:pt idx="63">
                  <c:v>37.138371217473647</c:v>
                </c:pt>
                <c:pt idx="64">
                  <c:v>37.63924528415447</c:v>
                </c:pt>
                <c:pt idx="65">
                  <c:v>38.137794259071754</c:v>
                </c:pt>
                <c:pt idx="66">
                  <c:v>38.634035672080898</c:v>
                </c:pt>
                <c:pt idx="67">
                  <c:v>39.127986898552571</c:v>
                </c:pt>
                <c:pt idx="68">
                  <c:v>39.619665161039507</c:v>
                </c:pt>
                <c:pt idx="69">
                  <c:v>40.109087530921634</c:v>
                </c:pt>
                <c:pt idx="70">
                  <c:v>40.596270930029917</c:v>
                </c:pt>
                <c:pt idx="71">
                  <c:v>41.081232132249248</c:v>
                </c:pt>
                <c:pt idx="72">
                  <c:v>41.563987765100613</c:v>
                </c:pt>
                <c:pt idx="73">
                  <c:v>42.044554311302953</c:v>
                </c:pt>
                <c:pt idx="74">
                  <c:v>42.522948110314957</c:v>
                </c:pt>
                <c:pt idx="75">
                  <c:v>42.99918535985708</c:v>
                </c:pt>
                <c:pt idx="76">
                  <c:v>43.473282117414101</c:v>
                </c:pt>
                <c:pt idx="77">
                  <c:v>43.945254301718535</c:v>
                </c:pt>
                <c:pt idx="78">
                  <c:v>44.415117694215141</c:v>
                </c:pt>
                <c:pt idx="79">
                  <c:v>44.882887940506812</c:v>
                </c:pt>
                <c:pt idx="80">
                  <c:v>45.348580551782113</c:v>
                </c:pt>
                <c:pt idx="81">
                  <c:v>45.812210906224777</c:v>
                </c:pt>
                <c:pt idx="82">
                  <c:v>46.273794250405416</c:v>
                </c:pt>
                <c:pt idx="83">
                  <c:v>46.73334570065564</c:v>
                </c:pt>
                <c:pt idx="84">
                  <c:v>47.190880244424918</c:v>
                </c:pt>
                <c:pt idx="85">
                  <c:v>47.646412741620395</c:v>
                </c:pt>
                <c:pt idx="86">
                  <c:v>48.099957925929971</c:v>
                </c:pt>
                <c:pt idx="87">
                  <c:v>48.551530406128762</c:v>
                </c:pt>
                <c:pt idx="88">
                  <c:v>49.00114466736931</c:v>
                </c:pt>
                <c:pt idx="89">
                  <c:v>49.44881507245573</c:v>
                </c:pt>
                <c:pt idx="90">
                  <c:v>49.894555863101985</c:v>
                </c:pt>
                <c:pt idx="91">
                  <c:v>50.338381161174603</c:v>
                </c:pt>
                <c:pt idx="92">
                  <c:v>50.780304969919989</c:v>
                </c:pt>
                <c:pt idx="93">
                  <c:v>51.220341175176564</c:v>
                </c:pt>
                <c:pt idx="94">
                  <c:v>51.658503546571978</c:v>
                </c:pt>
                <c:pt idx="95">
                  <c:v>52.09480573870561</c:v>
                </c:pt>
                <c:pt idx="96">
                  <c:v>52.529261292316527</c:v>
                </c:pt>
                <c:pt idx="97">
                  <c:v>52.961883635437111</c:v>
                </c:pt>
                <c:pt idx="98">
                  <c:v>53.392686084532635</c:v>
                </c:pt>
                <c:pt idx="99">
                  <c:v>53.821681845626884</c:v>
                </c:pt>
                <c:pt idx="100">
                  <c:v>54.248884015414063</c:v>
                </c:pt>
                <c:pt idx="101">
                  <c:v>54.674305582357228</c:v>
                </c:pt>
                <c:pt idx="102">
                  <c:v>55.09795942777334</c:v>
                </c:pt>
                <c:pt idx="103">
                  <c:v>55.519858326905229</c:v>
                </c:pt>
                <c:pt idx="104">
                  <c:v>55.940014949980551</c:v>
                </c:pt>
                <c:pt idx="105">
                  <c:v>56.358441863258001</c:v>
                </c:pt>
                <c:pt idx="106">
                  <c:v>56.775151530060946</c:v>
                </c:pt>
                <c:pt idx="107">
                  <c:v>57.190156311798582</c:v>
                </c:pt>
                <c:pt idx="108">
                  <c:v>57.603468468974924</c:v>
                </c:pt>
                <c:pt idx="109">
                  <c:v>58.015100162185654</c:v>
                </c:pt>
                <c:pt idx="110">
                  <c:v>58.425063453103085</c:v>
                </c:pt>
                <c:pt idx="111">
                  <c:v>58.833370305449399</c:v>
                </c:pt>
                <c:pt idx="112">
                  <c:v>59.240032585958254</c:v>
                </c:pt>
                <c:pt idx="113">
                  <c:v>59.645062065325035</c:v>
                </c:pt>
                <c:pt idx="114">
                  <c:v>60.048470419145787</c:v>
                </c:pt>
                <c:pt idx="115">
                  <c:v>60.450269228845052</c:v>
                </c:pt>
                <c:pt idx="116">
                  <c:v>60.850469982592791</c:v>
                </c:pt>
                <c:pt idx="117">
                  <c:v>61.24908407621043</c:v>
                </c:pt>
                <c:pt idx="118">
                  <c:v>61.646122814066288</c:v>
                </c:pt>
                <c:pt idx="119">
                  <c:v>62.041597409960474</c:v>
                </c:pt>
                <c:pt idx="120">
                  <c:v>62.435518987999451</c:v>
                </c:pt>
                <c:pt idx="121">
                  <c:v>62.827898583460303</c:v>
                </c:pt>
                <c:pt idx="122">
                  <c:v>63.218747143644983</c:v>
                </c:pt>
                <c:pt idx="123">
                  <c:v>63.60807552872452</c:v>
                </c:pt>
                <c:pt idx="124">
                  <c:v>63.9958945125735</c:v>
                </c:pt>
                <c:pt idx="125">
                  <c:v>64.38221478359479</c:v>
                </c:pt>
                <c:pt idx="126">
                  <c:v>64.767046945534744</c:v>
                </c:pt>
                <c:pt idx="127">
                  <c:v>65.150401518288916</c:v>
                </c:pt>
                <c:pt idx="128">
                  <c:v>65.532288938698585</c:v>
                </c:pt>
                <c:pt idx="129">
                  <c:v>65.912719561337937</c:v>
                </c:pt>
                <c:pt idx="130">
                  <c:v>66.291703659292367</c:v>
                </c:pt>
                <c:pt idx="131">
                  <c:v>66.669251424927708</c:v>
                </c:pt>
                <c:pt idx="132">
                  <c:v>67.045372970650689</c:v>
                </c:pt>
                <c:pt idx="133">
                  <c:v>67.420078329660711</c:v>
                </c:pt>
                <c:pt idx="134">
                  <c:v>67.793377456693051</c:v>
                </c:pt>
                <c:pt idx="135">
                  <c:v>68.165280228753517</c:v>
                </c:pt>
                <c:pt idx="136">
                  <c:v>68.535796445844767</c:v>
                </c:pt>
                <c:pt idx="137">
                  <c:v>68.904935831684469</c:v>
                </c:pt>
                <c:pt idx="138">
                  <c:v>69.272708034415217</c:v>
                </c:pt>
                <c:pt idx="139">
                  <c:v>69.639122627306392</c:v>
                </c:pt>
                <c:pt idx="140">
                  <c:v>70.004189109448205</c:v>
                </c:pt>
                <c:pt idx="141">
                  <c:v>70.367916906437841</c:v>
                </c:pt>
                <c:pt idx="142">
                  <c:v>70.730315371057841</c:v>
                </c:pt>
                <c:pt idx="143">
                  <c:v>71.09139378394697</c:v>
                </c:pt>
                <c:pt idx="144">
                  <c:v>71.451161354263434</c:v>
                </c:pt>
                <c:pt idx="145">
                  <c:v>71.809627220340744</c:v>
                </c:pt>
                <c:pt idx="146">
                  <c:v>72.166800450336268</c:v>
                </c:pt>
                <c:pt idx="147">
                  <c:v>72.522690042872426</c:v>
                </c:pt>
                <c:pt idx="148">
                  <c:v>72.87730492767092</c:v>
                </c:pt>
                <c:pt idx="149">
                  <c:v>73.230653966179744</c:v>
                </c:pt>
                <c:pt idx="150">
                  <c:v>73.582745952193335</c:v>
                </c:pt>
                <c:pt idx="151">
                  <c:v>73.933589612465767</c:v>
                </c:pt>
                <c:pt idx="152">
                  <c:v>74.283193607317273</c:v>
                </c:pt>
                <c:pt idx="153">
                  <c:v>74.631566531233972</c:v>
                </c:pt>
                <c:pt idx="154">
                  <c:v>74.978716913461028</c:v>
                </c:pt>
                <c:pt idx="155">
                  <c:v>75.324653218589248</c:v>
                </c:pt>
                <c:pt idx="156">
                  <c:v>75.669383847135251</c:v>
                </c:pt>
                <c:pt idx="157">
                  <c:v>76.01291713611532</c:v>
                </c:pt>
                <c:pt idx="158">
                  <c:v>76.35526135961284</c:v>
                </c:pt>
                <c:pt idx="159">
                  <c:v>76.696424729339682</c:v>
                </c:pt>
                <c:pt idx="160">
                  <c:v>77.036415395191341</c:v>
                </c:pt>
                <c:pt idx="161">
                  <c:v>77.375241445796121</c:v>
                </c:pt>
                <c:pt idx="162">
                  <c:v>77.71291090905828</c:v>
                </c:pt>
                <c:pt idx="163">
                  <c:v>78.049431752695241</c:v>
                </c:pt>
                <c:pt idx="164">
                  <c:v>78.384811884769107</c:v>
                </c:pt>
                <c:pt idx="165">
                  <c:v>78.719059154212275</c:v>
                </c:pt>
                <c:pt idx="166">
                  <c:v>79.052181351347514</c:v>
                </c:pt>
                <c:pt idx="167">
                  <c:v>79.384186208402269</c:v>
                </c:pt>
                <c:pt idx="168">
                  <c:v>79.715081400017581</c:v>
                </c:pt>
                <c:pt idx="169">
                  <c:v>80.044874543751419</c:v>
                </c:pt>
                <c:pt idx="170">
                  <c:v>80.373573200576672</c:v>
                </c:pt>
                <c:pt idx="171">
                  <c:v>80.701184875373755</c:v>
                </c:pt>
                <c:pt idx="172">
                  <c:v>81.02771701741797</c:v>
                </c:pt>
                <c:pt idx="173">
                  <c:v>81.353177020861693</c:v>
                </c:pt>
                <c:pt idx="174">
                  <c:v>81.67757222521135</c:v>
                </c:pt>
                <c:pt idx="175">
                  <c:v>82.00090991579934</c:v>
                </c:pt>
                <c:pt idx="176">
                  <c:v>82.323197324250941</c:v>
                </c:pt>
                <c:pt idx="177">
                  <c:v>82.644441628946254</c:v>
                </c:pt>
                <c:pt idx="178">
                  <c:v>82.964649955477256</c:v>
                </c:pt>
                <c:pt idx="179">
                  <c:v>83.283829377100034</c:v>
                </c:pt>
                <c:pt idx="180">
                  <c:v>83.601986915182167</c:v>
                </c:pt>
                <c:pt idx="181">
                  <c:v>83.919129539645454</c:v>
                </c:pt>
                <c:pt idx="182">
                  <c:v>84.235264169403962</c:v>
                </c:pt>
                <c:pt idx="183">
                  <c:v>84.550397672797487</c:v>
                </c:pt>
                <c:pt idx="184">
                  <c:v>84.864536868020394</c:v>
                </c:pt>
                <c:pt idx="185">
                  <c:v>85.17768852354601</c:v>
                </c:pt>
                <c:pt idx="186">
                  <c:v>85.48985935854661</c:v>
                </c:pt>
                <c:pt idx="187">
                  <c:v>85.80105604330889</c:v>
                </c:pt>
                <c:pt idx="188">
                  <c:v>86.111285199645238</c:v>
                </c:pt>
                <c:pt idx="189">
                  <c:v>86.420553401300637</c:v>
                </c:pt>
                <c:pt idx="190">
                  <c:v>86.728867174355344</c:v>
                </c:pt>
                <c:pt idx="191">
                  <c:v>87.036232997623415</c:v>
                </c:pt>
                <c:pt idx="192">
                  <c:v>87.342657303047076</c:v>
                </c:pt>
                <c:pt idx="193">
                  <c:v>87.648146476086993</c:v>
                </c:pt>
                <c:pt idx="194">
                  <c:v>87.952706856108477</c:v>
                </c:pt>
                <c:pt idx="195">
                  <c:v>88.256344736763808</c:v>
                </c:pt>
                <c:pt idx="196">
                  <c:v>88.559066366370516</c:v>
                </c:pt>
                <c:pt idx="197">
                  <c:v>88.860877948285761</c:v>
                </c:pt>
                <c:pt idx="198">
                  <c:v>89.161785641276964</c:v>
                </c:pt>
                <c:pt idx="199">
                  <c:v>89.461795559888486</c:v>
                </c:pt>
                <c:pt idx="200">
                  <c:v>89.760913774804692</c:v>
                </c:pt>
                <c:pt idx="201">
                  <c:v>90.059146313209169</c:v>
                </c:pt>
                <c:pt idx="202">
                  <c:v>90.356499159140384</c:v>
                </c:pt>
                <c:pt idx="203">
                  <c:v>90.652978253843614</c:v>
                </c:pt>
                <c:pt idx="204">
                  <c:v>90.948589496119354</c:v>
                </c:pt>
                <c:pt idx="205">
                  <c:v>91.243338742668129</c:v>
                </c:pt>
                <c:pt idx="206">
                  <c:v>91.537231808431883</c:v>
                </c:pt>
                <c:pt idx="207">
                  <c:v>91.830274466931769</c:v>
                </c:pt>
                <c:pt idx="208">
                  <c:v>92.122472450602615</c:v>
                </c:pt>
                <c:pt idx="209">
                  <c:v>92.413831451124011</c:v>
                </c:pt>
                <c:pt idx="210">
                  <c:v>92.704357119747982</c:v>
                </c:pt>
                <c:pt idx="211">
                  <c:v>92.994055067623393</c:v>
                </c:pt>
                <c:pt idx="212">
                  <c:v>93.282930866117098</c:v>
                </c:pt>
                <c:pt idx="213">
                  <c:v>93.570990047131801</c:v>
                </c:pt>
                <c:pt idx="214">
                  <c:v>93.858238103420803</c:v>
                </c:pt>
                <c:pt idx="215">
                  <c:v>94.144680488899468</c:v>
                </c:pt>
                <c:pt idx="216">
                  <c:v>94.430322618953738</c:v>
                </c:pt>
                <c:pt idx="217">
                  <c:v>94.715169870745413</c:v>
                </c:pt>
                <c:pt idx="218">
                  <c:v>94.999227583514397</c:v>
                </c:pt>
                <c:pt idx="219">
                  <c:v>95.282501058878054</c:v>
                </c:pt>
                <c:pt idx="220">
                  <c:v>95.564995561127375</c:v>
                </c:pt>
                <c:pt idx="221">
                  <c:v>95.846716317520389</c:v>
                </c:pt>
                <c:pt idx="222">
                  <c:v>96.127668518572548</c:v>
                </c:pt>
                <c:pt idx="223">
                  <c:v>96.407857318344256</c:v>
                </c:pt>
                <c:pt idx="224">
                  <c:v>96.687287834725538</c:v>
                </c:pt>
                <c:pt idx="225">
                  <c:v>96.965965149717945</c:v>
                </c:pt>
                <c:pt idx="226">
                  <c:v>97.243894309713568</c:v>
                </c:pt>
                <c:pt idx="227">
                  <c:v>97.521080325771393</c:v>
                </c:pt>
                <c:pt idx="228">
                  <c:v>97.797528173890896</c:v>
                </c:pt>
                <c:pt idx="229">
                  <c:v>98.073242795282923</c:v>
                </c:pt>
                <c:pt idx="230">
                  <c:v>98.348229096637951</c:v>
                </c:pt>
                <c:pt idx="231">
                  <c:v>98.622491950391677</c:v>
                </c:pt>
                <c:pt idx="232">
                  <c:v>98.896036194988028</c:v>
                </c:pt>
                <c:pt idx="233">
                  <c:v>99.16886663513958</c:v>
                </c:pt>
                <c:pt idx="234">
                  <c:v>99.440988042085436</c:v>
                </c:pt>
                <c:pt idx="235">
                  <c:v>99.712405153846589</c:v>
                </c:pt>
                <c:pt idx="236">
                  <c:v>99.983122675478768</c:v>
                </c:pt>
                <c:pt idx="237">
                  <c:v>100.25314527932291</c:v>
                </c:pt>
                <c:pt idx="238">
                  <c:v>100.52247760525303</c:v>
                </c:pt>
                <c:pt idx="239">
                  <c:v>100.79112426092186</c:v>
                </c:pt>
                <c:pt idx="240">
                  <c:v>101.05908982200404</c:v>
                </c:pt>
                <c:pt idx="241">
                  <c:v>101.32637883243689</c:v>
                </c:pt>
                <c:pt idx="242">
                  <c:v>101.59299580465894</c:v>
                </c:pt>
                <c:pt idx="243">
                  <c:v>101.85894521984612</c:v>
                </c:pt>
                <c:pt idx="244">
                  <c:v>102.12423152814567</c:v>
                </c:pt>
                <c:pt idx="245">
                  <c:v>102.38885914890784</c:v>
                </c:pt>
                <c:pt idx="246">
                  <c:v>102.65283247091524</c:v>
                </c:pt>
                <c:pt idx="247">
                  <c:v>102.91615585261019</c:v>
                </c:pt>
                <c:pt idx="248">
                  <c:v>103.17883362231966</c:v>
                </c:pt>
                <c:pt idx="249">
                  <c:v>103.44087007847824</c:v>
                </c:pt>
                <c:pt idx="250">
                  <c:v>103.70226948984889</c:v>
                </c:pt>
                <c:pt idx="251">
                  <c:v>103.96303609574157</c:v>
                </c:pt>
                <c:pt idx="252">
                  <c:v>104.22317410622986</c:v>
                </c:pt>
                <c:pt idx="253">
                  <c:v>104.48268770236544</c:v>
                </c:pt>
                <c:pt idx="254">
                  <c:v>104.74158103639053</c:v>
                </c:pt>
                <c:pt idx="255">
                  <c:v>104.99985823194844</c:v>
                </c:pt>
                <c:pt idx="256">
                  <c:v>105.2575233842919</c:v>
                </c:pt>
                <c:pt idx="257">
                  <c:v>105.51458056048968</c:v>
                </c:pt>
                <c:pt idx="258">
                  <c:v>105.771033799631</c:v>
                </c:pt>
                <c:pt idx="259">
                  <c:v>106.02688711302821</c:v>
                </c:pt>
                <c:pt idx="260">
                  <c:v>106.28214448441747</c:v>
                </c:pt>
                <c:pt idx="261">
                  <c:v>106.53680987015751</c:v>
                </c:pt>
                <c:pt idx="262">
                  <c:v>106.79088719942665</c:v>
                </c:pt>
                <c:pt idx="263">
                  <c:v>107.04438037441778</c:v>
                </c:pt>
                <c:pt idx="264">
                  <c:v>107.29729327053174</c:v>
                </c:pt>
                <c:pt idx="265">
                  <c:v>107.54962973656866</c:v>
                </c:pt>
                <c:pt idx="266">
                  <c:v>107.80139359491771</c:v>
                </c:pt>
                <c:pt idx="267">
                  <c:v>108.05258864174499</c:v>
                </c:pt>
                <c:pt idx="268">
                  <c:v>108.30321864717961</c:v>
                </c:pt>
                <c:pt idx="269">
                  <c:v>108.55328735549818</c:v>
                </c:pt>
                <c:pt idx="270">
                  <c:v>108.80279848530751</c:v>
                </c:pt>
                <c:pt idx="271">
                  <c:v>109.05175572972557</c:v>
                </c:pt>
                <c:pt idx="272">
                  <c:v>109.30016275656094</c:v>
                </c:pt>
                <c:pt idx="273">
                  <c:v>109.54802320849038</c:v>
                </c:pt>
                <c:pt idx="274">
                  <c:v>109.79534070323494</c:v>
                </c:pt>
                <c:pt idx="275">
                  <c:v>110.04211883373442</c:v>
                </c:pt>
                <c:pt idx="276">
                  <c:v>110.28836116832012</c:v>
                </c:pt>
                <c:pt idx="277">
                  <c:v>110.53407125088614</c:v>
                </c:pt>
                <c:pt idx="278">
                  <c:v>110.77925260105906</c:v>
                </c:pt>
                <c:pt idx="279">
                  <c:v>111.02390871436602</c:v>
                </c:pt>
                <c:pt idx="280">
                  <c:v>111.26804306240139</c:v>
                </c:pt>
                <c:pt idx="281">
                  <c:v>111.51165909299181</c:v>
                </c:pt>
                <c:pt idx="282">
                  <c:v>111.75476023035974</c:v>
                </c:pt>
                <c:pt idx="283">
                  <c:v>111.99734987528559</c:v>
                </c:pt>
                <c:pt idx="284">
                  <c:v>112.23943140526839</c:v>
                </c:pt>
                <c:pt idx="285">
                  <c:v>112.48100817468492</c:v>
                </c:pt>
                <c:pt idx="286">
                  <c:v>112.72208351494746</c:v>
                </c:pt>
                <c:pt idx="287">
                  <c:v>112.96266073466016</c:v>
                </c:pt>
                <c:pt idx="288">
                  <c:v>113.20274311977396</c:v>
                </c:pt>
                <c:pt idx="289">
                  <c:v>113.44233393374007</c:v>
                </c:pt>
                <c:pt idx="290">
                  <c:v>113.68143641766224</c:v>
                </c:pt>
                <c:pt idx="291">
                  <c:v>113.92005379044747</c:v>
                </c:pt>
                <c:pt idx="292">
                  <c:v>114.15818924895558</c:v>
                </c:pt>
                <c:pt idx="293">
                  <c:v>114.39584596814731</c:v>
                </c:pt>
                <c:pt idx="294">
                  <c:v>114.63302710123115</c:v>
                </c:pt>
                <c:pt idx="295">
                  <c:v>114.86973577980891</c:v>
                </c:pt>
                <c:pt idx="296">
                  <c:v>115.10597511401991</c:v>
                </c:pt>
                <c:pt idx="297">
                  <c:v>115.34174819268409</c:v>
                </c:pt>
                <c:pt idx="298">
                  <c:v>115.57705808344366</c:v>
                </c:pt>
                <c:pt idx="299">
                  <c:v>115.81190783290359</c:v>
                </c:pt>
                <c:pt idx="300">
                  <c:v>116.04630046677096</c:v>
                </c:pt>
                <c:pt idx="301">
                  <c:v>116.28023898999297</c:v>
                </c:pt>
                <c:pt idx="302">
                  <c:v>116.51372638689379</c:v>
                </c:pt>
                <c:pt idx="303">
                  <c:v>116.74676562131033</c:v>
                </c:pt>
                <c:pt idx="304">
                  <c:v>116.97935963672664</c:v>
                </c:pt>
                <c:pt idx="305">
                  <c:v>117.21151135640737</c:v>
                </c:pt>
                <c:pt idx="306">
                  <c:v>117.44322368352995</c:v>
                </c:pt>
                <c:pt idx="307">
                  <c:v>117.67449950131564</c:v>
                </c:pt>
                <c:pt idx="308">
                  <c:v>117.90534167315954</c:v>
                </c:pt>
                <c:pt idx="309">
                  <c:v>118.13575304275949</c:v>
                </c:pt>
                <c:pt idx="310">
                  <c:v>118.36573643424377</c:v>
                </c:pt>
                <c:pt idx="311">
                  <c:v>118.59529465229787</c:v>
                </c:pt>
                <c:pt idx="312">
                  <c:v>118.82443048229007</c:v>
                </c:pt>
                <c:pt idx="313">
                  <c:v>119.05314669039609</c:v>
                </c:pt>
                <c:pt idx="314">
                  <c:v>119.28144602372255</c:v>
                </c:pt>
                <c:pt idx="315">
                  <c:v>119.50933121042956</c:v>
                </c:pt>
                <c:pt idx="316">
                  <c:v>119.73680495985222</c:v>
                </c:pt>
                <c:pt idx="317">
                  <c:v>119.96386996262106</c:v>
                </c:pt>
                <c:pt idx="318">
                  <c:v>120.19052889078161</c:v>
                </c:pt>
                <c:pt idx="319">
                  <c:v>120.41678439791289</c:v>
                </c:pt>
                <c:pt idx="320">
                  <c:v>120.64263911924503</c:v>
                </c:pt>
                <c:pt idx="321">
                  <c:v>120.86809567177585</c:v>
                </c:pt>
                <c:pt idx="322">
                  <c:v>121.09315665438653</c:v>
                </c:pt>
                <c:pt idx="323">
                  <c:v>121.31782464795637</c:v>
                </c:pt>
                <c:pt idx="324">
                  <c:v>121.54210221547656</c:v>
                </c:pt>
                <c:pt idx="325">
                  <c:v>121.76599190216318</c:v>
                </c:pt>
                <c:pt idx="326">
                  <c:v>121.98949623556913</c:v>
                </c:pt>
                <c:pt idx="327">
                  <c:v>122.21261772569537</c:v>
                </c:pt>
                <c:pt idx="328">
                  <c:v>122.43535886510102</c:v>
                </c:pt>
                <c:pt idx="329">
                  <c:v>122.65772212901297</c:v>
                </c:pt>
                <c:pt idx="330">
                  <c:v>122.87970997543424</c:v>
                </c:pt>
                <c:pt idx="331">
                  <c:v>123.1013248452518</c:v>
                </c:pt>
                <c:pt idx="332">
                  <c:v>123.32256916234343</c:v>
                </c:pt>
                <c:pt idx="333">
                  <c:v>123.54344533368378</c:v>
                </c:pt>
                <c:pt idx="334">
                  <c:v>123.76395574944962</c:v>
                </c:pt>
                <c:pt idx="335">
                  <c:v>123.98410278312436</c:v>
                </c:pt>
                <c:pt idx="336">
                  <c:v>124.20388879160161</c:v>
                </c:pt>
                <c:pt idx="337">
                  <c:v>124.42331611528823</c:v>
                </c:pt>
                <c:pt idx="338">
                  <c:v>124.64238707820637</c:v>
                </c:pt>
                <c:pt idx="339">
                  <c:v>124.8611039880949</c:v>
                </c:pt>
                <c:pt idx="340">
                  <c:v>125.07946913651007</c:v>
                </c:pt>
                <c:pt idx="341">
                  <c:v>125.2974847989254</c:v>
                </c:pt>
                <c:pt idx="342">
                  <c:v>125.5151532348309</c:v>
                </c:pt>
                <c:pt idx="343">
                  <c:v>125.73247668783156</c:v>
                </c:pt>
                <c:pt idx="344">
                  <c:v>125.94945738574509</c:v>
                </c:pt>
                <c:pt idx="345">
                  <c:v>126.16609754069907</c:v>
                </c:pt>
                <c:pt idx="346">
                  <c:v>126.38239934922733</c:v>
                </c:pt>
                <c:pt idx="347">
                  <c:v>126.5983649923657</c:v>
                </c:pt>
                <c:pt idx="348">
                  <c:v>126.81399663574715</c:v>
                </c:pt>
                <c:pt idx="349">
                  <c:v>127.02929642969612</c:v>
                </c:pt>
                <c:pt idx="350">
                  <c:v>127.2442665093224</c:v>
                </c:pt>
                <c:pt idx="351">
                  <c:v>127.45890899461429</c:v>
                </c:pt>
                <c:pt idx="352">
                  <c:v>127.67322599053111</c:v>
                </c:pt>
                <c:pt idx="353">
                  <c:v>127.88721958709517</c:v>
                </c:pt>
                <c:pt idx="354">
                  <c:v>128.10089185948306</c:v>
                </c:pt>
                <c:pt idx="355">
                  <c:v>128.31424486811645</c:v>
                </c:pt>
                <c:pt idx="356">
                  <c:v>128.52728065875226</c:v>
                </c:pt>
                <c:pt idx="357">
                  <c:v>128.74000126257218</c:v>
                </c:pt>
                <c:pt idx="358">
                  <c:v>128.95240869627173</c:v>
                </c:pt>
                <c:pt idx="359">
                  <c:v>129.16450496214878</c:v>
                </c:pt>
                <c:pt idx="360">
                  <c:v>129.3762920481914</c:v>
                </c:pt>
                <c:pt idx="361">
                  <c:v>129.58777192816535</c:v>
                </c:pt>
                <c:pt idx="362">
                  <c:v>129.79894656170092</c:v>
                </c:pt>
                <c:pt idx="363">
                  <c:v>130.00981789437924</c:v>
                </c:pt>
                <c:pt idx="364">
                  <c:v>130.22038785781822</c:v>
                </c:pt>
                <c:pt idx="365">
                  <c:v>130.43065836975785</c:v>
                </c:pt>
                <c:pt idx="366">
                  <c:v>130.64063133414504</c:v>
                </c:pt>
                <c:pt idx="367">
                  <c:v>130.85030864121808</c:v>
                </c:pt>
                <c:pt idx="368">
                  <c:v>131.0596921675905</c:v>
                </c:pt>
                <c:pt idx="369">
                  <c:v>131.26878377633457</c:v>
                </c:pt>
                <c:pt idx="370">
                  <c:v>131.47758531706427</c:v>
                </c:pt>
                <c:pt idx="371">
                  <c:v>131.68609862601789</c:v>
                </c:pt>
                <c:pt idx="372">
                  <c:v>131.89432552614011</c:v>
                </c:pt>
                <c:pt idx="373">
                  <c:v>132.1022678271637</c:v>
                </c:pt>
                <c:pt idx="374">
                  <c:v>132.30992732569084</c:v>
                </c:pt>
                <c:pt idx="375">
                  <c:v>132.51730580527396</c:v>
                </c:pt>
                <c:pt idx="376">
                  <c:v>132.72440503649628</c:v>
                </c:pt>
                <c:pt idx="377">
                  <c:v>132.93122677705176</c:v>
                </c:pt>
                <c:pt idx="378">
                  <c:v>133.13777277182487</c:v>
                </c:pt>
                <c:pt idx="379">
                  <c:v>133.34404475296998</c:v>
                </c:pt>
                <c:pt idx="380">
                  <c:v>133.55004443999013</c:v>
                </c:pt>
                <c:pt idx="381">
                  <c:v>133.75577353981586</c:v>
                </c:pt>
                <c:pt idx="382">
                  <c:v>133.96123374688327</c:v>
                </c:pt>
                <c:pt idx="383">
                  <c:v>134.16642674321193</c:v>
                </c:pt>
                <c:pt idx="384">
                  <c:v>134.37135419848255</c:v>
                </c:pt>
                <c:pt idx="385">
                  <c:v>134.57601777011416</c:v>
                </c:pt>
                <c:pt idx="386">
                  <c:v>134.78041910334099</c:v>
                </c:pt>
                <c:pt idx="387">
                  <c:v>134.98455983128912</c:v>
                </c:pt>
                <c:pt idx="388">
                  <c:v>135.18844157505274</c:v>
                </c:pt>
                <c:pt idx="389">
                  <c:v>135.39206594377026</c:v>
                </c:pt>
                <c:pt idx="390">
                  <c:v>135.59543453469988</c:v>
                </c:pt>
                <c:pt idx="391">
                  <c:v>135.79854893329511</c:v>
                </c:pt>
                <c:pt idx="392">
                  <c:v>136.00141071327997</c:v>
                </c:pt>
                <c:pt idx="393">
                  <c:v>136.20402143672379</c:v>
                </c:pt>
                <c:pt idx="394">
                  <c:v>136.40638265411587</c:v>
                </c:pt>
                <c:pt idx="395">
                  <c:v>136.60849590443993</c:v>
                </c:pt>
                <c:pt idx="396">
                  <c:v>136.81036271524812</c:v>
                </c:pt>
                <c:pt idx="397">
                  <c:v>137.01198460273503</c:v>
                </c:pt>
                <c:pt idx="398">
                  <c:v>137.2133630718113</c:v>
                </c:pt>
                <c:pt idx="399">
                  <c:v>137.41449961617712</c:v>
                </c:pt>
                <c:pt idx="400">
                  <c:v>137.6153957183954</c:v>
                </c:pt>
                <c:pt idx="401">
                  <c:v>137.81605284996473</c:v>
                </c:pt>
                <c:pt idx="402">
                  <c:v>138.01647247139226</c:v>
                </c:pt>
                <c:pt idx="403">
                  <c:v>138.21665603226631</c:v>
                </c:pt>
                <c:pt idx="404">
                  <c:v>138.41660497132881</c:v>
                </c:pt>
                <c:pt idx="405">
                  <c:v>138.61632071654739</c:v>
                </c:pt>
                <c:pt idx="406">
                  <c:v>138.8158046851876</c:v>
                </c:pt>
                <c:pt idx="407">
                  <c:v>139.01505828388468</c:v>
                </c:pt>
                <c:pt idx="408">
                  <c:v>139.21408290871523</c:v>
                </c:pt>
                <c:pt idx="409">
                  <c:v>139.41287994526888</c:v>
                </c:pt>
                <c:pt idx="410">
                  <c:v>139.61145076871955</c:v>
                </c:pt>
                <c:pt idx="411">
                  <c:v>139.80979674389675</c:v>
                </c:pt>
                <c:pt idx="412">
                  <c:v>140.00791922535663</c:v>
                </c:pt>
                <c:pt idx="413">
                  <c:v>140.20581955745297</c:v>
                </c:pt>
                <c:pt idx="414">
                  <c:v>140.40349907440793</c:v>
                </c:pt>
                <c:pt idx="415">
                  <c:v>140.60095910038277</c:v>
                </c:pt>
                <c:pt idx="416">
                  <c:v>140.7982009495484</c:v>
                </c:pt>
                <c:pt idx="417">
                  <c:v>140.9952259261558</c:v>
                </c:pt>
                <c:pt idx="418">
                  <c:v>141.19203532460628</c:v>
                </c:pt>
                <c:pt idx="419">
                  <c:v>141.38863042952181</c:v>
                </c:pt>
                <c:pt idx="420">
                  <c:v>141.58501251581501</c:v>
                </c:pt>
                <c:pt idx="421">
                  <c:v>141.78118284875913</c:v>
                </c:pt>
                <c:pt idx="422">
                  <c:v>141.97714268405804</c:v>
                </c:pt>
                <c:pt idx="423">
                  <c:v>142.17289326791598</c:v>
                </c:pt>
                <c:pt idx="424">
                  <c:v>142.3684358371072</c:v>
                </c:pt>
                <c:pt idx="425">
                  <c:v>142.56377161904567</c:v>
                </c:pt>
                <c:pt idx="426">
                  <c:v>142.75890183185459</c:v>
                </c:pt>
                <c:pt idx="427">
                  <c:v>142.95382768443579</c:v>
                </c:pt>
                <c:pt idx="428">
                  <c:v>143.14855037653916</c:v>
                </c:pt>
                <c:pt idx="429">
                  <c:v>143.34307109883198</c:v>
                </c:pt>
                <c:pt idx="430">
                  <c:v>143.53739103296809</c:v>
                </c:pt>
                <c:pt idx="431">
                  <c:v>143.73151135165705</c:v>
                </c:pt>
                <c:pt idx="432">
                  <c:v>143.9254332187333</c:v>
                </c:pt>
                <c:pt idx="433">
                  <c:v>144.11915778922511</c:v>
                </c:pt>
                <c:pt idx="434">
                  <c:v>144.31268620942365</c:v>
                </c:pt>
                <c:pt idx="435">
                  <c:v>144.50601961695182</c:v>
                </c:pt>
                <c:pt idx="436">
                  <c:v>144.69915914083316</c:v>
                </c:pt>
                <c:pt idx="437">
                  <c:v>144.8921059015606</c:v>
                </c:pt>
                <c:pt idx="438">
                  <c:v>145.08486101116532</c:v>
                </c:pt>
                <c:pt idx="439">
                  <c:v>145.27742557328534</c:v>
                </c:pt>
                <c:pt idx="440">
                  <c:v>145.46980068323421</c:v>
                </c:pt>
                <c:pt idx="441">
                  <c:v>145.66198742806961</c:v>
                </c:pt>
                <c:pt idx="442">
                  <c:v>145.85398688666194</c:v>
                </c:pt>
                <c:pt idx="443">
                  <c:v>146.04580012976277</c:v>
                </c:pt>
                <c:pt idx="444">
                  <c:v>146.23742822007333</c:v>
                </c:pt>
                <c:pt idx="445">
                  <c:v>146.42887221231294</c:v>
                </c:pt>
                <c:pt idx="446">
                  <c:v>146.62013315328741</c:v>
                </c:pt>
                <c:pt idx="447">
                  <c:v>146.81121208195731</c:v>
                </c:pt>
                <c:pt idx="448">
                  <c:v>147.00211002950624</c:v>
                </c:pt>
                <c:pt idx="449">
                  <c:v>147.19282801940921</c:v>
                </c:pt>
                <c:pt idx="450">
                  <c:v>147.3833670675007</c:v>
                </c:pt>
                <c:pt idx="451">
                  <c:v>147.57372818204286</c:v>
                </c:pt>
                <c:pt idx="452">
                  <c:v>147.76391236379365</c:v>
                </c:pt>
                <c:pt idx="453">
                  <c:v>147.95392060607489</c:v>
                </c:pt>
                <c:pt idx="454">
                  <c:v>148.14375389484019</c:v>
                </c:pt>
                <c:pt idx="455">
                  <c:v>148.33341320874308</c:v>
                </c:pt>
                <c:pt idx="456">
                  <c:v>148.5228995192048</c:v>
                </c:pt>
                <c:pt idx="457">
                  <c:v>148.71221379048228</c:v>
                </c:pt>
                <c:pt idx="458">
                  <c:v>148.90135697973591</c:v>
                </c:pt>
                <c:pt idx="459">
                  <c:v>149.09033003709723</c:v>
                </c:pt>
                <c:pt idx="460">
                  <c:v>149.27913390573678</c:v>
                </c:pt>
                <c:pt idx="461">
                  <c:v>149.46776952193167</c:v>
                </c:pt>
                <c:pt idx="462">
                  <c:v>149.65623781513327</c:v>
                </c:pt>
                <c:pt idx="463">
                  <c:v>149.84453970803463</c:v>
                </c:pt>
                <c:pt idx="464">
                  <c:v>150.03267611663804</c:v>
                </c:pt>
                <c:pt idx="465">
                  <c:v>150.22064795032244</c:v>
                </c:pt>
                <c:pt idx="466">
                  <c:v>150.40845611191068</c:v>
                </c:pt>
                <c:pt idx="467">
                  <c:v>150.5961014977369</c:v>
                </c:pt>
                <c:pt idx="468">
                  <c:v>150.78358499771363</c:v>
                </c:pt>
                <c:pt idx="469">
                  <c:v>150.97090749539902</c:v>
                </c:pt>
                <c:pt idx="470">
                  <c:v>151.15806986806376</c:v>
                </c:pt>
                <c:pt idx="471">
                  <c:v>151.34507298675811</c:v>
                </c:pt>
                <c:pt idx="472">
                  <c:v>151.53191771637879</c:v>
                </c:pt>
                <c:pt idx="473">
                  <c:v>151.71860491573568</c:v>
                </c:pt>
                <c:pt idx="474">
                  <c:v>151.90513543761855</c:v>
                </c:pt>
                <c:pt idx="475">
                  <c:v>152.09151012886369</c:v>
                </c:pt>
                <c:pt idx="476">
                  <c:v>152.27772983042024</c:v>
                </c:pt>
                <c:pt idx="477">
                  <c:v>152.46379537741677</c:v>
                </c:pt>
                <c:pt idx="478">
                  <c:v>152.64970759922738</c:v>
                </c:pt>
                <c:pt idx="479">
                  <c:v>152.83546731953797</c:v>
                </c:pt>
                <c:pt idx="480">
                  <c:v>153.02107535641218</c:v>
                </c:pt>
                <c:pt idx="481">
                  <c:v>153.20653252235735</c:v>
                </c:pt>
                <c:pt idx="482">
                  <c:v>153.39183962439031</c:v>
                </c:pt>
                <c:pt idx="483">
                  <c:v>153.57699746410296</c:v>
                </c:pt>
                <c:pt idx="484">
                  <c:v>153.76200683772788</c:v>
                </c:pt>
                <c:pt idx="485">
                  <c:v>153.9468685362036</c:v>
                </c:pt>
                <c:pt idx="486">
                  <c:v>154.13158334523985</c:v>
                </c:pt>
                <c:pt idx="487">
                  <c:v>154.31615204538267</c:v>
                </c:pt>
                <c:pt idx="488">
                  <c:v>154.5005754120792</c:v>
                </c:pt>
                <c:pt idx="489">
                  <c:v>154.6848542157426</c:v>
                </c:pt>
                <c:pt idx="490">
                  <c:v>154.86898922181649</c:v>
                </c:pt>
                <c:pt idx="491">
                  <c:v>155.05298119083935</c:v>
                </c:pt>
                <c:pt idx="492">
                  <c:v>155.23683087850884</c:v>
                </c:pt>
                <c:pt idx="493">
                  <c:v>155.42053903574569</c:v>
                </c:pt>
                <c:pt idx="494">
                  <c:v>155.60410640875773</c:v>
                </c:pt>
                <c:pt idx="495">
                  <c:v>155.78753373910334</c:v>
                </c:pt>
                <c:pt idx="496">
                  <c:v>155.97082176375508</c:v>
                </c:pt>
                <c:pt idx="497">
                  <c:v>156.15397121516284</c:v>
                </c:pt>
                <c:pt idx="498">
                  <c:v>156.33698282131684</c:v>
                </c:pt>
                <c:pt idx="499">
                  <c:v>156.51985730581052</c:v>
                </c:pt>
                <c:pt idx="500">
                  <c:v>156.70259538790307</c:v>
                </c:pt>
                <c:pt idx="501">
                  <c:v>156.88519778258186</c:v>
                </c:pt>
                <c:pt idx="502">
                  <c:v>157.06766520062439</c:v>
                </c:pt>
                <c:pt idx="503">
                  <c:v>157.2499983486604</c:v>
                </c:pt>
                <c:pt idx="504">
                  <c:v>157.4321979292333</c:v>
                </c:pt>
                <c:pt idx="505">
                  <c:v>157.61426464086171</c:v>
                </c:pt>
                <c:pt idx="506">
                  <c:v>157.79619917810047</c:v>
                </c:pt>
                <c:pt idx="507">
                  <c:v>157.97800223160152</c:v>
                </c:pt>
                <c:pt idx="508">
                  <c:v>158.15967448817449</c:v>
                </c:pt>
                <c:pt idx="509">
                  <c:v>158.34121663084704</c:v>
                </c:pt>
                <c:pt idx="510">
                  <c:v>158.52262933892484</c:v>
                </c:pt>
                <c:pt idx="511">
                  <c:v>158.70391328805133</c:v>
                </c:pt>
                <c:pt idx="512">
                  <c:v>158.88506915026713</c:v>
                </c:pt>
                <c:pt idx="513">
                  <c:v>159.06609759406925</c:v>
                </c:pt>
                <c:pt idx="514">
                  <c:v>159.24699928446987</c:v>
                </c:pt>
                <c:pt idx="515">
                  <c:v>159.42777488305489</c:v>
                </c:pt>
                <c:pt idx="516">
                  <c:v>159.60842504804222</c:v>
                </c:pt>
                <c:pt idx="517">
                  <c:v>159.78895043433948</c:v>
                </c:pt>
                <c:pt idx="518">
                  <c:v>159.96935169360177</c:v>
                </c:pt>
                <c:pt idx="519">
                  <c:v>160.14962947428876</c:v>
                </c:pt>
                <c:pt idx="520">
                  <c:v>160.32978442172163</c:v>
                </c:pt>
                <c:pt idx="521">
                  <c:v>160.50981717813968</c:v>
                </c:pt>
                <c:pt idx="522">
                  <c:v>160.68972838275644</c:v>
                </c:pt>
                <c:pt idx="523">
                  <c:v>160.86951867181554</c:v>
                </c:pt>
                <c:pt idx="524">
                  <c:v>161.04918867864626</c:v>
                </c:pt>
                <c:pt idx="525">
                  <c:v>161.2287390337186</c:v>
                </c:pt>
                <c:pt idx="526">
                  <c:v>161.40817036469795</c:v>
                </c:pt>
                <c:pt idx="527">
                  <c:v>161.5874832964997</c:v>
                </c:pt>
                <c:pt idx="528">
                  <c:v>161.76667845134295</c:v>
                </c:pt>
                <c:pt idx="529">
                  <c:v>161.94575644880442</c:v>
                </c:pt>
                <c:pt idx="530">
                  <c:v>162.12471790587148</c:v>
                </c:pt>
                <c:pt idx="531">
                  <c:v>162.30356343699501</c:v>
                </c:pt>
                <c:pt idx="532">
                  <c:v>162.4822936541419</c:v>
                </c:pt>
                <c:pt idx="533">
                  <c:v>162.66090916684709</c:v>
                </c:pt>
                <c:pt idx="534">
                  <c:v>162.83941058226509</c:v>
                </c:pt>
                <c:pt idx="535">
                  <c:v>163.01779850522132</c:v>
                </c:pt>
                <c:pt idx="536">
                  <c:v>163.19607353826291</c:v>
                </c:pt>
                <c:pt idx="537">
                  <c:v>163.37423628170902</c:v>
                </c:pt>
                <c:pt idx="538">
                  <c:v>163.55228733370075</c:v>
                </c:pt>
                <c:pt idx="539">
                  <c:v>163.73022729025084</c:v>
                </c:pt>
                <c:pt idx="540">
                  <c:v>163.90805674529264</c:v>
                </c:pt>
                <c:pt idx="541">
                  <c:v>164.08577629072886</c:v>
                </c:pt>
                <c:pt idx="542">
                  <c:v>164.26338651647976</c:v>
                </c:pt>
                <c:pt idx="543">
                  <c:v>164.44088801053095</c:v>
                </c:pt>
                <c:pt idx="544">
                  <c:v>164.61828135898071</c:v>
                </c:pt>
                <c:pt idx="545">
                  <c:v>164.79556714608694</c:v>
                </c:pt>
                <c:pt idx="546">
                  <c:v>164.97274595431361</c:v>
                </c:pt>
                <c:pt idx="547">
                  <c:v>165.14981836437667</c:v>
                </c:pt>
                <c:pt idx="548">
                  <c:v>165.32678495528972</c:v>
                </c:pt>
                <c:pt idx="549">
                  <c:v>165.50364630440899</c:v>
                </c:pt>
                <c:pt idx="550">
                  <c:v>165.68040298747795</c:v>
                </c:pt>
                <c:pt idx="551">
                  <c:v>165.85705557867155</c:v>
                </c:pt>
                <c:pt idx="552">
                  <c:v>166.03360465063983</c:v>
                </c:pt>
                <c:pt idx="553">
                  <c:v>166.21005077455112</c:v>
                </c:pt>
                <c:pt idx="554">
                  <c:v>166.38639452013487</c:v>
                </c:pt>
                <c:pt idx="555">
                  <c:v>166.56263645572386</c:v>
                </c:pt>
                <c:pt idx="556">
                  <c:v>166.73877714829598</c:v>
                </c:pt>
                <c:pt idx="557">
                  <c:v>166.91481716351558</c:v>
                </c:pt>
                <c:pt idx="558">
                  <c:v>167.09075706577428</c:v>
                </c:pt>
                <c:pt idx="559">
                  <c:v>167.26659741823138</c:v>
                </c:pt>
                <c:pt idx="560">
                  <c:v>167.44233878285371</c:v>
                </c:pt>
                <c:pt idx="561">
                  <c:v>167.61798172045491</c:v>
                </c:pt>
                <c:pt idx="562">
                  <c:v>167.79352679073455</c:v>
                </c:pt>
                <c:pt idx="563">
                  <c:v>167.96897455231635</c:v>
                </c:pt>
                <c:pt idx="564">
                  <c:v>168.14432556278621</c:v>
                </c:pt>
                <c:pt idx="565">
                  <c:v>168.31958037872963</c:v>
                </c:pt>
                <c:pt idx="566">
                  <c:v>168.49473955576869</c:v>
                </c:pt>
                <c:pt idx="567">
                  <c:v>168.66980364859842</c:v>
                </c:pt>
                <c:pt idx="568">
                  <c:v>168.84477321102293</c:v>
                </c:pt>
                <c:pt idx="569">
                  <c:v>169.01964879599078</c:v>
                </c:pt>
                <c:pt idx="570">
                  <c:v>169.19443095562991</c:v>
                </c:pt>
                <c:pt idx="571">
                  <c:v>169.3691202412823</c:v>
                </c:pt>
                <c:pt idx="572">
                  <c:v>169.54371720353791</c:v>
                </c:pt>
                <c:pt idx="573">
                  <c:v>169.7182223922681</c:v>
                </c:pt>
                <c:pt idx="574">
                  <c:v>169.89263635665884</c:v>
                </c:pt>
                <c:pt idx="575">
                  <c:v>170.06695964524303</c:v>
                </c:pt>
                <c:pt idx="576">
                  <c:v>170.24119280593268</c:v>
                </c:pt>
                <c:pt idx="577">
                  <c:v>170.41533638605043</c:v>
                </c:pt>
                <c:pt idx="578">
                  <c:v>170.58939093236054</c:v>
                </c:pt>
                <c:pt idx="579">
                  <c:v>170.76335699109961</c:v>
                </c:pt>
                <c:pt idx="580">
                  <c:v>170.93723510800646</c:v>
                </c:pt>
                <c:pt idx="581">
                  <c:v>171.11102582835184</c:v>
                </c:pt>
                <c:pt idx="582">
                  <c:v>171.2847296969675</c:v>
                </c:pt>
                <c:pt idx="583">
                  <c:v>171.45834725827476</c:v>
                </c:pt>
                <c:pt idx="584">
                  <c:v>171.63187905631273</c:v>
                </c:pt>
                <c:pt idx="585">
                  <c:v>171.80532563476586</c:v>
                </c:pt>
                <c:pt idx="586">
                  <c:v>171.97868753699112</c:v>
                </c:pt>
                <c:pt idx="587">
                  <c:v>172.15196530604464</c:v>
                </c:pt>
                <c:pt idx="588">
                  <c:v>172.32515948470802</c:v>
                </c:pt>
                <c:pt idx="589">
                  <c:v>172.49827061551383</c:v>
                </c:pt>
                <c:pt idx="590">
                  <c:v>172.67129924077102</c:v>
                </c:pt>
                <c:pt idx="591">
                  <c:v>172.84424590258965</c:v>
                </c:pt>
                <c:pt idx="592">
                  <c:v>173.01711114290504</c:v>
                </c:pt>
                <c:pt idx="593">
                  <c:v>173.18989550350167</c:v>
                </c:pt>
                <c:pt idx="594">
                  <c:v>173.3625995260366</c:v>
                </c:pt>
                <c:pt idx="595">
                  <c:v>173.53522375206211</c:v>
                </c:pt>
                <c:pt idx="596">
                  <c:v>173.70776872304822</c:v>
                </c:pt>
                <c:pt idx="597">
                  <c:v>173.88023498040468</c:v>
                </c:pt>
                <c:pt idx="598">
                  <c:v>174.0526230655023</c:v>
                </c:pt>
                <c:pt idx="599">
                  <c:v>174.22493351969399</c:v>
                </c:pt>
                <c:pt idx="600">
                  <c:v>174.39716688433535</c:v>
                </c:pt>
                <c:pt idx="601">
                  <c:v>174.56932370080466</c:v>
                </c:pt>
                <c:pt idx="602">
                  <c:v>174.74140451052261</c:v>
                </c:pt>
                <c:pt idx="603">
                  <c:v>174.91340985497138</c:v>
                </c:pt>
                <c:pt idx="604">
                  <c:v>175.08534027571338</c:v>
                </c:pt>
                <c:pt idx="605">
                  <c:v>175.25719631440958</c:v>
                </c:pt>
                <c:pt idx="606">
                  <c:v>175.42897851283735</c:v>
                </c:pt>
                <c:pt idx="607">
                  <c:v>175.60068741290766</c:v>
                </c:pt>
                <c:pt idx="608">
                  <c:v>175.7723235566823</c:v>
                </c:pt>
                <c:pt idx="609">
                  <c:v>175.94388748639011</c:v>
                </c:pt>
                <c:pt idx="610">
                  <c:v>176.11537974444329</c:v>
                </c:pt>
                <c:pt idx="611">
                  <c:v>176.2868008734529</c:v>
                </c:pt>
                <c:pt idx="612">
                  <c:v>176.45815141624411</c:v>
                </c:pt>
                <c:pt idx="613">
                  <c:v>176.62943191587095</c:v>
                </c:pt>
                <c:pt idx="614">
                  <c:v>176.80064291563073</c:v>
                </c:pt>
                <c:pt idx="615">
                  <c:v>176.97178495907798</c:v>
                </c:pt>
                <c:pt idx="616">
                  <c:v>177.14285859003789</c:v>
                </c:pt>
                <c:pt idx="617">
                  <c:v>177.31386435261953</c:v>
                </c:pt>
                <c:pt idx="618">
                  <c:v>177.48480279122845</c:v>
                </c:pt>
                <c:pt idx="619">
                  <c:v>177.655674450579</c:v>
                </c:pt>
                <c:pt idx="620">
                  <c:v>177.8264798757063</c:v>
                </c:pt>
                <c:pt idx="621">
                  <c:v>177.99721961197753</c:v>
                </c:pt>
                <c:pt idx="622">
                  <c:v>178.16789420510324</c:v>
                </c:pt>
                <c:pt idx="623">
                  <c:v>178.33850420114788</c:v>
                </c:pt>
                <c:pt idx="624">
                  <c:v>178.50905014654015</c:v>
                </c:pt>
                <c:pt idx="625">
                  <c:v>178.67953258808288</c:v>
                </c:pt>
                <c:pt idx="626">
                  <c:v>178.84995207296259</c:v>
                </c:pt>
                <c:pt idx="627">
                  <c:v>179.02030914875866</c:v>
                </c:pt>
                <c:pt idx="628">
                  <c:v>179.190604363452</c:v>
                </c:pt>
                <c:pt idx="629">
                  <c:v>179.36083826543344</c:v>
                </c:pt>
                <c:pt idx="630">
                  <c:v>179.53101140351183</c:v>
                </c:pt>
                <c:pt idx="631">
                  <c:v>179.70112432692167</c:v>
                </c:pt>
                <c:pt idx="632">
                  <c:v>179.87117758533029</c:v>
                </c:pt>
                <c:pt idx="633">
                  <c:v>180.04117172884486</c:v>
                </c:pt>
                <c:pt idx="634">
                  <c:v>180.21110730801894</c:v>
                </c:pt>
                <c:pt idx="635">
                  <c:v>180.38098487385867</c:v>
                </c:pt>
                <c:pt idx="636">
                  <c:v>180.55080497782859</c:v>
                </c:pt>
                <c:pt idx="637">
                  <c:v>180.7205681718572</c:v>
                </c:pt>
                <c:pt idx="638">
                  <c:v>180.89027500834212</c:v>
                </c:pt>
                <c:pt idx="639">
                  <c:v>181.05992604015486</c:v>
                </c:pt>
                <c:pt idx="640">
                  <c:v>181.22952182064537</c:v>
                </c:pt>
                <c:pt idx="641">
                  <c:v>181.39906290364613</c:v>
                </c:pt>
                <c:pt idx="642">
                  <c:v>181.56854984347598</c:v>
                </c:pt>
                <c:pt idx="643">
                  <c:v>181.73798319494367</c:v>
                </c:pt>
                <c:pt idx="644">
                  <c:v>181.90736351335093</c:v>
                </c:pt>
                <c:pt idx="645">
                  <c:v>182.07669135449547</c:v>
                </c:pt>
                <c:pt idx="646">
                  <c:v>182.24596727467338</c:v>
                </c:pt>
                <c:pt idx="647">
                  <c:v>182.41519183068135</c:v>
                </c:pt>
                <c:pt idx="648">
                  <c:v>182.58436557981875</c:v>
                </c:pt>
                <c:pt idx="649">
                  <c:v>182.75348907988905</c:v>
                </c:pt>
                <c:pt idx="650">
                  <c:v>182.92256288920123</c:v>
                </c:pt>
                <c:pt idx="651">
                  <c:v>183.09158756657072</c:v>
                </c:pt>
                <c:pt idx="652">
                  <c:v>183.26056367132026</c:v>
                </c:pt>
                <c:pt idx="653">
                  <c:v>183.42949176328014</c:v>
                </c:pt>
                <c:pt idx="654">
                  <c:v>183.59837240278844</c:v>
                </c:pt>
                <c:pt idx="655">
                  <c:v>183.7672061506909</c:v>
                </c:pt>
                <c:pt idx="656">
                  <c:v>183.93599356834045</c:v>
                </c:pt>
                <c:pt idx="657">
                  <c:v>184.10473521759656</c:v>
                </c:pt>
                <c:pt idx="658">
                  <c:v>184.27343166082414</c:v>
                </c:pt>
                <c:pt idx="659">
                  <c:v>184.44208346089246</c:v>
                </c:pt>
                <c:pt idx="660">
                  <c:v>184.61069118117356</c:v>
                </c:pt>
                <c:pt idx="661">
                  <c:v>184.77925538554044</c:v>
                </c:pt>
                <c:pt idx="662">
                  <c:v>184.9477766383651</c:v>
                </c:pt>
                <c:pt idx="663">
                  <c:v>185.11625550451623</c:v>
                </c:pt>
                <c:pt idx="664">
                  <c:v>185.28469254935669</c:v>
                </c:pt>
                <c:pt idx="665">
                  <c:v>185.45308833874066</c:v>
                </c:pt>
                <c:pt idx="666">
                  <c:v>185.62144343901062</c:v>
                </c:pt>
                <c:pt idx="667">
                  <c:v>185.7897584169942</c:v>
                </c:pt>
                <c:pt idx="668">
                  <c:v>185.9580338400005</c:v>
                </c:pt>
                <c:pt idx="669">
                  <c:v>186.12627027581641</c:v>
                </c:pt>
                <c:pt idx="670">
                  <c:v>186.29446829270273</c:v>
                </c:pt>
                <c:pt idx="671">
                  <c:v>186.46262845938978</c:v>
                </c:pt>
                <c:pt idx="672">
                  <c:v>186.63075134507312</c:v>
                </c:pt>
                <c:pt idx="673">
                  <c:v>186.79883751940883</c:v>
                </c:pt>
                <c:pt idx="674">
                  <c:v>186.96688755250869</c:v>
                </c:pt>
                <c:pt idx="675">
                  <c:v>187.13490201493505</c:v>
                </c:pt>
                <c:pt idx="676">
                  <c:v>187.30288147769556</c:v>
                </c:pt>
                <c:pt idx="677">
                  <c:v>187.47082651223772</c:v>
                </c:pt>
                <c:pt idx="678">
                  <c:v>187.63873769044307</c:v>
                </c:pt>
                <c:pt idx="679">
                  <c:v>187.80661558462134</c:v>
                </c:pt>
                <c:pt idx="680">
                  <c:v>187.97446076750441</c:v>
                </c:pt>
                <c:pt idx="681">
                  <c:v>188.14227381223989</c:v>
                </c:pt>
                <c:pt idx="682">
                  <c:v>188.31005529238476</c:v>
                </c:pt>
                <c:pt idx="683">
                  <c:v>188.47780578189861</c:v>
                </c:pt>
                <c:pt idx="684">
                  <c:v>188.64552585513678</c:v>
                </c:pt>
                <c:pt idx="685">
                  <c:v>188.8132160868434</c:v>
                </c:pt>
                <c:pt idx="686">
                  <c:v>188.98087705214405</c:v>
                </c:pt>
                <c:pt idx="687">
                  <c:v>189.14850932653846</c:v>
                </c:pt>
                <c:pt idx="688">
                  <c:v>189.31611348589291</c:v>
                </c:pt>
                <c:pt idx="689">
                  <c:v>189.4836901064325</c:v>
                </c:pt>
                <c:pt idx="690">
                  <c:v>189.65123976473325</c:v>
                </c:pt>
                <c:pt idx="691">
                  <c:v>189.81876303771401</c:v>
                </c:pt>
                <c:pt idx="692">
                  <c:v>189.98626050262828</c:v>
                </c:pt>
                <c:pt idx="693">
                  <c:v>190.1537327370558</c:v>
                </c:pt>
                <c:pt idx="694">
                  <c:v>190.32118031889402</c:v>
                </c:pt>
                <c:pt idx="695">
                  <c:v>190.48860382634945</c:v>
                </c:pt>
                <c:pt idx="696">
                  <c:v>190.65600383792875</c:v>
                </c:pt>
                <c:pt idx="697">
                  <c:v>190.82338093242984</c:v>
                </c:pt>
                <c:pt idx="698">
                  <c:v>190.99073568893274</c:v>
                </c:pt>
                <c:pt idx="699">
                  <c:v>191.1580686867903</c:v>
                </c:pt>
                <c:pt idx="700">
                  <c:v>191.32538050561882</c:v>
                </c:pt>
                <c:pt idx="701">
                  <c:v>191.49267172528857</c:v>
                </c:pt>
                <c:pt idx="702">
                  <c:v>191.65994292591407</c:v>
                </c:pt>
                <c:pt idx="703">
                  <c:v>191.8271946878443</c:v>
                </c:pt>
                <c:pt idx="704">
                  <c:v>191.99442759165285</c:v>
                </c:pt>
                <c:pt idx="705">
                  <c:v>192.16164221812789</c:v>
                </c:pt>
                <c:pt idx="706">
                  <c:v>192.32883914826195</c:v>
                </c:pt>
                <c:pt idx="707">
                  <c:v>192.49601896324171</c:v>
                </c:pt>
                <c:pt idx="708">
                  <c:v>192.66318224443762</c:v>
                </c:pt>
                <c:pt idx="709">
                  <c:v>192.83032957339339</c:v>
                </c:pt>
                <c:pt idx="710">
                  <c:v>192.99746153181545</c:v>
                </c:pt>
                <c:pt idx="711">
                  <c:v>193.16457870156214</c:v>
                </c:pt>
                <c:pt idx="712">
                  <c:v>193.33168166463301</c:v>
                </c:pt>
                <c:pt idx="713">
                  <c:v>193.49877100315788</c:v>
                </c:pt>
                <c:pt idx="714">
                  <c:v>193.6658472993858</c:v>
                </c:pt>
                <c:pt idx="715">
                  <c:v>193.83291113567401</c:v>
                </c:pt>
                <c:pt idx="716">
                  <c:v>193.99996309447675</c:v>
                </c:pt>
                <c:pt idx="717">
                  <c:v>194.16700375833389</c:v>
                </c:pt>
                <c:pt idx="718">
                  <c:v>194.33403370985963</c:v>
                </c:pt>
                <c:pt idx="719">
                  <c:v>194.50105353173112</c:v>
                </c:pt>
                <c:pt idx="720">
                  <c:v>194.6680638066768</c:v>
                </c:pt>
                <c:pt idx="721">
                  <c:v>194.83506511746484</c:v>
                </c:pt>
                <c:pt idx="722">
                  <c:v>195.00205804689148</c:v>
                </c:pt>
                <c:pt idx="723">
                  <c:v>195.16904317776914</c:v>
                </c:pt>
                <c:pt idx="724">
                  <c:v>195.33602109291473</c:v>
                </c:pt>
                <c:pt idx="725">
                  <c:v>195.50299237513772</c:v>
                </c:pt>
                <c:pt idx="726">
                  <c:v>195.66995760722804</c:v>
                </c:pt>
                <c:pt idx="727">
                  <c:v>195.83691737194417</c:v>
                </c:pt>
                <c:pt idx="728">
                  <c:v>196.00387225200092</c:v>
                </c:pt>
                <c:pt idx="729">
                  <c:v>196.17082283005738</c:v>
                </c:pt>
                <c:pt idx="730">
                  <c:v>196.33776968870458</c:v>
                </c:pt>
                <c:pt idx="731">
                  <c:v>196.50471341045332</c:v>
                </c:pt>
                <c:pt idx="732">
                  <c:v>196.67165457772168</c:v>
                </c:pt>
                <c:pt idx="733">
                  <c:v>196.8385937728228</c:v>
                </c:pt>
                <c:pt idx="734">
                  <c:v>197.00553157795233</c:v>
                </c:pt>
                <c:pt idx="735">
                  <c:v>197.17246857517588</c:v>
                </c:pt>
                <c:pt idx="736">
                  <c:v>197.33940534641673</c:v>
                </c:pt>
                <c:pt idx="737">
                  <c:v>197.50634247344297</c:v>
                </c:pt>
                <c:pt idx="738">
                  <c:v>197.67328053785505</c:v>
                </c:pt>
                <c:pt idx="739">
                  <c:v>197.84022012107303</c:v>
                </c:pt>
                <c:pt idx="740">
                  <c:v>198.00716180432394</c:v>
                </c:pt>
                <c:pt idx="741">
                  <c:v>198.17410616862907</c:v>
                </c:pt>
                <c:pt idx="742">
                  <c:v>198.34105379479112</c:v>
                </c:pt>
                <c:pt idx="743">
                  <c:v>198.50800526338142</c:v>
                </c:pt>
                <c:pt idx="744">
                  <c:v>198.67496115472713</c:v>
                </c:pt>
                <c:pt idx="745">
                  <c:v>198.8419220488984</c:v>
                </c:pt>
                <c:pt idx="746">
                  <c:v>199.00888852569543</c:v>
                </c:pt>
                <c:pt idx="747">
                  <c:v>199.17586116463559</c:v>
                </c:pt>
                <c:pt idx="748">
                  <c:v>199.34284054494057</c:v>
                </c:pt>
                <c:pt idx="749">
                  <c:v>199.50982724552324</c:v>
                </c:pt>
                <c:pt idx="750">
                  <c:v>199.67682184497491</c:v>
                </c:pt>
                <c:pt idx="751">
                  <c:v>199.84382492155211</c:v>
                </c:pt>
                <c:pt idx="752">
                  <c:v>200.01083705316384</c:v>
                </c:pt>
                <c:pt idx="753">
                  <c:v>200.17785881735836</c:v>
                </c:pt>
                <c:pt idx="754">
                  <c:v>200.34489079131021</c:v>
                </c:pt>
                <c:pt idx="755">
                  <c:v>200.51193355180726</c:v>
                </c:pt>
                <c:pt idx="756">
                  <c:v>200.67898767523761</c:v>
                </c:pt>
                <c:pt idx="757">
                  <c:v>200.84605373757648</c:v>
                </c:pt>
                <c:pt idx="758">
                  <c:v>201.01313231437331</c:v>
                </c:pt>
                <c:pt idx="759">
                  <c:v>201.18022398073856</c:v>
                </c:pt>
                <c:pt idx="760">
                  <c:v>201.3473293113307</c:v>
                </c:pt>
                <c:pt idx="761">
                  <c:v>201.51444888034317</c:v>
                </c:pt>
                <c:pt idx="762">
                  <c:v>201.68158326149134</c:v>
                </c:pt>
                <c:pt idx="763">
                  <c:v>201.8487330279994</c:v>
                </c:pt>
                <c:pt idx="764">
                  <c:v>202.01589875258739</c:v>
                </c:pt>
                <c:pt idx="765">
                  <c:v>202.18308100745807</c:v>
                </c:pt>
                <c:pt idx="766">
                  <c:v>202.35028036428398</c:v>
                </c:pt>
                <c:pt idx="767">
                  <c:v>202.51749739419432</c:v>
                </c:pt>
                <c:pt idx="768">
                  <c:v>202.68473266776203</c:v>
                </c:pt>
                <c:pt idx="769">
                  <c:v>202.85198675499075</c:v>
                </c:pt>
                <c:pt idx="770">
                  <c:v>203.01926022530179</c:v>
                </c:pt>
                <c:pt idx="771">
                  <c:v>203.18655364752129</c:v>
                </c:pt>
                <c:pt idx="772">
                  <c:v>203.35386758986706</c:v>
                </c:pt>
                <c:pt idx="773">
                  <c:v>203.52120261993588</c:v>
                </c:pt>
                <c:pt idx="774">
                  <c:v>203.68855930469039</c:v>
                </c:pt>
                <c:pt idx="775">
                  <c:v>203.85593821044628</c:v>
                </c:pt>
                <c:pt idx="776">
                  <c:v>204.02333990285942</c:v>
                </c:pt>
                <c:pt idx="777">
                  <c:v>204.19076494691302</c:v>
                </c:pt>
                <c:pt idx="778">
                  <c:v>204.35821390690472</c:v>
                </c:pt>
                <c:pt idx="779">
                  <c:v>204.52568734643393</c:v>
                </c:pt>
                <c:pt idx="780">
                  <c:v>204.69318582838886</c:v>
                </c:pt>
                <c:pt idx="781">
                  <c:v>204.86070991493398</c:v>
                </c:pt>
                <c:pt idx="782">
                  <c:v>205.02826016749719</c:v>
                </c:pt>
                <c:pt idx="783">
                  <c:v>205.19583714675716</c:v>
                </c:pt>
                <c:pt idx="784">
                  <c:v>205.36344141263064</c:v>
                </c:pt>
                <c:pt idx="785">
                  <c:v>205.53107352425991</c:v>
                </c:pt>
                <c:pt idx="786">
                  <c:v>205.69873404000012</c:v>
                </c:pt>
                <c:pt idx="787">
                  <c:v>205.86642351740684</c:v>
                </c:pt>
                <c:pt idx="788">
                  <c:v>206.03414251322346</c:v>
                </c:pt>
                <c:pt idx="789">
                  <c:v>206.20189158336868</c:v>
                </c:pt>
                <c:pt idx="790">
                  <c:v>206.36967128292423</c:v>
                </c:pt>
                <c:pt idx="791">
                  <c:v>206.53748216612226</c:v>
                </c:pt>
                <c:pt idx="792">
                  <c:v>206.70532478633319</c:v>
                </c:pt>
                <c:pt idx="793">
                  <c:v>206.87319969605323</c:v>
                </c:pt>
                <c:pt idx="794">
                  <c:v>207.04110744689223</c:v>
                </c:pt>
                <c:pt idx="795">
                  <c:v>207.20904858956132</c:v>
                </c:pt>
                <c:pt idx="796">
                  <c:v>207.37702367386086</c:v>
                </c:pt>
                <c:pt idx="797">
                  <c:v>207.54503324866823</c:v>
                </c:pt>
                <c:pt idx="798">
                  <c:v>207.71307786192571</c:v>
                </c:pt>
                <c:pt idx="799">
                  <c:v>207.88115806062851</c:v>
                </c:pt>
                <c:pt idx="800">
                  <c:v>208.04927439081274</c:v>
                </c:pt>
                <c:pt idx="801">
                  <c:v>208.21742739754345</c:v>
                </c:pt>
                <c:pt idx="802">
                  <c:v>208.38561762490269</c:v>
                </c:pt>
                <c:pt idx="803">
                  <c:v>208.55384561597776</c:v>
                </c:pt>
                <c:pt idx="804">
                  <c:v>208.72211191284941</c:v>
                </c:pt>
                <c:pt idx="805">
                  <c:v>208.89041705658005</c:v>
                </c:pt>
                <c:pt idx="806">
                  <c:v>209.05876158720199</c:v>
                </c:pt>
                <c:pt idx="807">
                  <c:v>209.22714604370597</c:v>
                </c:pt>
                <c:pt idx="808">
                  <c:v>209.39557096402947</c:v>
                </c:pt>
                <c:pt idx="809">
                  <c:v>209.56403688504525</c:v>
                </c:pt>
                <c:pt idx="810">
                  <c:v>209.73254434254989</c:v>
                </c:pt>
                <c:pt idx="811">
                  <c:v>209.90109387125224</c:v>
                </c:pt>
                <c:pt idx="812">
                  <c:v>210.06968600476227</c:v>
                </c:pt>
                <c:pt idx="813">
                  <c:v>210.23832127557969</c:v>
                </c:pt>
                <c:pt idx="814">
                  <c:v>210.40700021508269</c:v>
                </c:pt>
                <c:pt idx="815">
                  <c:v>210.57572335351679</c:v>
                </c:pt>
                <c:pt idx="816">
                  <c:v>210.74449121998381</c:v>
                </c:pt>
                <c:pt idx="817">
                  <c:v>210.91330434243071</c:v>
                </c:pt>
                <c:pt idx="818">
                  <c:v>211.08216324763865</c:v>
                </c:pt>
                <c:pt idx="819">
                  <c:v>211.2510684612121</c:v>
                </c:pt>
                <c:pt idx="820">
                  <c:v>211.42002050756793</c:v>
                </c:pt>
                <c:pt idx="821">
                  <c:v>211.58901990992464</c:v>
                </c:pt>
                <c:pt idx="822">
                  <c:v>211.75806719029168</c:v>
                </c:pt>
                <c:pt idx="823">
                  <c:v>211.9271628694587</c:v>
                </c:pt>
                <c:pt idx="824">
                  <c:v>212.096307466985</c:v>
                </c:pt>
                <c:pt idx="825">
                  <c:v>212.26550150118899</c:v>
                </c:pt>
                <c:pt idx="826">
                  <c:v>212.43474548913775</c:v>
                </c:pt>
                <c:pt idx="827">
                  <c:v>212.60403994663665</c:v>
                </c:pt>
                <c:pt idx="828">
                  <c:v>212.77338538821888</c:v>
                </c:pt>
                <c:pt idx="829">
                  <c:v>212.94278232713546</c:v>
                </c:pt>
                <c:pt idx="830">
                  <c:v>213.11223127534478</c:v>
                </c:pt>
                <c:pt idx="831">
                  <c:v>213.28173274350263</c:v>
                </c:pt>
                <c:pt idx="832">
                  <c:v>213.45128724095215</c:v>
                </c:pt>
                <c:pt idx="833">
                  <c:v>213.62089527571376</c:v>
                </c:pt>
                <c:pt idx="834">
                  <c:v>213.7905573544754</c:v>
                </c:pt>
                <c:pt idx="835">
                  <c:v>213.96027398258252</c:v>
                </c:pt>
                <c:pt idx="836">
                  <c:v>214.13004566402847</c:v>
                </c:pt>
                <c:pt idx="837">
                  <c:v>214.29987290144473</c:v>
                </c:pt>
                <c:pt idx="838">
                  <c:v>214.46975619609131</c:v>
                </c:pt>
                <c:pt idx="839">
                  <c:v>214.6396960478472</c:v>
                </c:pt>
                <c:pt idx="840">
                  <c:v>214.80969295520089</c:v>
                </c:pt>
                <c:pt idx="841">
                  <c:v>214.97974741524104</c:v>
                </c:pt>
                <c:pt idx="842">
                  <c:v>215.14985992364711</c:v>
                </c:pt>
                <c:pt idx="843">
                  <c:v>215.32003097468007</c:v>
                </c:pt>
                <c:pt idx="844">
                  <c:v>215.49026106117327</c:v>
                </c:pt>
                <c:pt idx="845">
                  <c:v>215.66055067452336</c:v>
                </c:pt>
                <c:pt idx="846">
                  <c:v>215.83090030468131</c:v>
                </c:pt>
                <c:pt idx="847">
                  <c:v>216.0013104401433</c:v>
                </c:pt>
                <c:pt idx="848">
                  <c:v>216.17178156794202</c:v>
                </c:pt>
                <c:pt idx="849">
                  <c:v>216.34231417363779</c:v>
                </c:pt>
                <c:pt idx="850">
                  <c:v>216.51290874130993</c:v>
                </c:pt>
                <c:pt idx="851">
                  <c:v>216.68356575354804</c:v>
                </c:pt>
                <c:pt idx="852">
                  <c:v>216.85428569144344</c:v>
                </c:pt>
                <c:pt idx="853">
                  <c:v>217.02506903458072</c:v>
                </c:pt>
                <c:pt idx="854">
                  <c:v>217.19591626102937</c:v>
                </c:pt>
                <c:pt idx="855">
                  <c:v>217.36682784733537</c:v>
                </c:pt>
                <c:pt idx="856">
                  <c:v>217.53780426851301</c:v>
                </c:pt>
                <c:pt idx="857">
                  <c:v>217.70884599803671</c:v>
                </c:pt>
                <c:pt idx="858">
                  <c:v>217.87995350783285</c:v>
                </c:pt>
                <c:pt idx="859">
                  <c:v>218.05112726827193</c:v>
                </c:pt>
                <c:pt idx="860">
                  <c:v>218.22236774816045</c:v>
                </c:pt>
                <c:pt idx="861">
                  <c:v>218.39367541473317</c:v>
                </c:pt>
                <c:pt idx="862">
                  <c:v>218.56505073364528</c:v>
                </c:pt>
                <c:pt idx="863">
                  <c:v>218.73649416896478</c:v>
                </c:pt>
                <c:pt idx="864">
                  <c:v>218.90800618316479</c:v>
                </c:pt>
                <c:pt idx="865">
                  <c:v>219.07958723711604</c:v>
                </c:pt>
                <c:pt idx="866">
                  <c:v>219.25123779007947</c:v>
                </c:pt>
                <c:pt idx="867">
                  <c:v>219.42295829969876</c:v>
                </c:pt>
                <c:pt idx="868">
                  <c:v>219.59474922199308</c:v>
                </c:pt>
                <c:pt idx="869">
                  <c:v>219.76661101134988</c:v>
                </c:pt>
                <c:pt idx="870">
                  <c:v>219.93854412051783</c:v>
                </c:pt>
                <c:pt idx="871">
                  <c:v>220.11054900059963</c:v>
                </c:pt>
                <c:pt idx="872">
                  <c:v>220.28262610104511</c:v>
                </c:pt>
                <c:pt idx="873">
                  <c:v>220.45477586964438</c:v>
                </c:pt>
                <c:pt idx="874">
                  <c:v>220.62699875252096</c:v>
                </c:pt>
                <c:pt idx="875">
                  <c:v>220.79929519412505</c:v>
                </c:pt>
                <c:pt idx="876">
                  <c:v>220.97166563722692</c:v>
                </c:pt>
                <c:pt idx="877">
                  <c:v>221.14411052291032</c:v>
                </c:pt>
                <c:pt idx="878">
                  <c:v>221.316630290566</c:v>
                </c:pt>
                <c:pt idx="879">
                  <c:v>221.48922537788528</c:v>
                </c:pt>
                <c:pt idx="880">
                  <c:v>221.66189622085378</c:v>
                </c:pt>
                <c:pt idx="881">
                  <c:v>221.83464325374516</c:v>
                </c:pt>
                <c:pt idx="882">
                  <c:v>222.0074669091149</c:v>
                </c:pt>
                <c:pt idx="883">
                  <c:v>222.18036761779433</c:v>
                </c:pt>
                <c:pt idx="884">
                  <c:v>222.35334580888448</c:v>
                </c:pt>
                <c:pt idx="885">
                  <c:v>222.52640190975035</c:v>
                </c:pt>
                <c:pt idx="886">
                  <c:v>222.69953634601484</c:v>
                </c:pt>
                <c:pt idx="887">
                  <c:v>222.87274954155325</c:v>
                </c:pt>
                <c:pt idx="888">
                  <c:v>223.04604191848739</c:v>
                </c:pt>
                <c:pt idx="889">
                  <c:v>223.21941389718015</c:v>
                </c:pt>
                <c:pt idx="890">
                  <c:v>223.39286589622984</c:v>
                </c:pt>
                <c:pt idx="891">
                  <c:v>223.56639833246481</c:v>
                </c:pt>
                <c:pt idx="892">
                  <c:v>223.74001162093819</c:v>
                </c:pt>
                <c:pt idx="893">
                  <c:v>223.91370617492248</c:v>
                </c:pt>
                <c:pt idx="894">
                  <c:v>224.08748240590444</c:v>
                </c:pt>
                <c:pt idx="895">
                  <c:v>224.26134072357993</c:v>
                </c:pt>
                <c:pt idx="896">
                  <c:v>224.43528153584896</c:v>
                </c:pt>
                <c:pt idx="897">
                  <c:v>224.60930524881064</c:v>
                </c:pt>
                <c:pt idx="898">
                  <c:v>224.78341226675835</c:v>
                </c:pt>
                <c:pt idx="899">
                  <c:v>224.95760299217494</c:v>
                </c:pt>
                <c:pt idx="900">
                  <c:v>225.13187782572808</c:v>
                </c:pt>
                <c:pt idx="901">
                  <c:v>225.30623716626556</c:v>
                </c:pt>
                <c:pt idx="902">
                  <c:v>225.48068141081075</c:v>
                </c:pt>
                <c:pt idx="903">
                  <c:v>225.65521095455816</c:v>
                </c:pt>
                <c:pt idx="904">
                  <c:v>225.829826190869</c:v>
                </c:pt>
                <c:pt idx="905">
                  <c:v>226.0045275112669</c:v>
                </c:pt>
                <c:pt idx="906">
                  <c:v>226.17931530543368</c:v>
                </c:pt>
                <c:pt idx="907">
                  <c:v>226.35418996120521</c:v>
                </c:pt>
                <c:pt idx="908">
                  <c:v>226.52915186456724</c:v>
                </c:pt>
                <c:pt idx="909">
                  <c:v>226.70420139965154</c:v>
                </c:pt>
                <c:pt idx="910">
                  <c:v>226.87933894873186</c:v>
                </c:pt>
                <c:pt idx="911">
                  <c:v>227.05456489222018</c:v>
                </c:pt>
                <c:pt idx="912">
                  <c:v>227.22987960866291</c:v>
                </c:pt>
                <c:pt idx="913">
                  <c:v>227.40528347473716</c:v>
                </c:pt>
                <c:pt idx="914">
                  <c:v>227.58077686524723</c:v>
                </c:pt>
                <c:pt idx="915">
                  <c:v>227.75636015312097</c:v>
                </c:pt>
                <c:pt idx="916">
                  <c:v>227.93203370940643</c:v>
                </c:pt>
                <c:pt idx="917">
                  <c:v>228.10779790326845</c:v>
                </c:pt>
                <c:pt idx="918">
                  <c:v>228.28365310198535</c:v>
                </c:pt>
                <c:pt idx="919">
                  <c:v>228.45959967094566</c:v>
                </c:pt>
                <c:pt idx="920">
                  <c:v>228.63563797364506</c:v>
                </c:pt>
                <c:pt idx="921">
                  <c:v>228.81176837168329</c:v>
                </c:pt>
                <c:pt idx="922">
                  <c:v>228.98799122476115</c:v>
                </c:pt>
                <c:pt idx="923">
                  <c:v>229.16430689067758</c:v>
                </c:pt>
                <c:pt idx="924">
                  <c:v>229.34071572532685</c:v>
                </c:pt>
                <c:pt idx="925">
                  <c:v>229.51721808269565</c:v>
                </c:pt>
                <c:pt idx="926">
                  <c:v>229.69381431486065</c:v>
                </c:pt>
                <c:pt idx="927">
                  <c:v>229.87050477198565</c:v>
                </c:pt>
                <c:pt idx="928">
                  <c:v>230.04728980231923</c:v>
                </c:pt>
                <c:pt idx="929">
                  <c:v>230.2241697521921</c:v>
                </c:pt>
                <c:pt idx="930">
                  <c:v>230.40114496601487</c:v>
                </c:pt>
                <c:pt idx="931">
                  <c:v>230.57821578627562</c:v>
                </c:pt>
                <c:pt idx="932">
                  <c:v>230.75538255353771</c:v>
                </c:pt>
                <c:pt idx="933">
                  <c:v>230.93264560643763</c:v>
                </c:pt>
                <c:pt idx="934">
                  <c:v>231.11000528168282</c:v>
                </c:pt>
                <c:pt idx="935">
                  <c:v>231.28746191404971</c:v>
                </c:pt>
                <c:pt idx="936">
                  <c:v>231.46501583638178</c:v>
                </c:pt>
                <c:pt idx="937">
                  <c:v>231.64266737958761</c:v>
                </c:pt>
                <c:pt idx="938">
                  <c:v>231.82041687263916</c:v>
                </c:pt>
                <c:pt idx="939">
                  <c:v>231.99826464256995</c:v>
                </c:pt>
                <c:pt idx="940">
                  <c:v>232.17621101447341</c:v>
                </c:pt>
                <c:pt idx="941">
                  <c:v>232.35425631150136</c:v>
                </c:pt>
                <c:pt idx="942">
                  <c:v>232.53240085486237</c:v>
                </c:pt>
                <c:pt idx="943">
                  <c:v>232.71064496382047</c:v>
                </c:pt>
                <c:pt idx="944">
                  <c:v>232.88898895569355</c:v>
                </c:pt>
                <c:pt idx="945">
                  <c:v>233.06743314585228</c:v>
                </c:pt>
                <c:pt idx="946">
                  <c:v>233.24597784771868</c:v>
                </c:pt>
                <c:pt idx="947">
                  <c:v>233.42462337276501</c:v>
                </c:pt>
                <c:pt idx="948">
                  <c:v>233.60337003051276</c:v>
                </c:pt>
                <c:pt idx="949">
                  <c:v>233.78221812853147</c:v>
                </c:pt>
                <c:pt idx="950">
                  <c:v>233.96116797243781</c:v>
                </c:pt>
                <c:pt idx="951">
                  <c:v>234.14021986589469</c:v>
                </c:pt>
                <c:pt idx="952">
                  <c:v>234.31937411061051</c:v>
                </c:pt>
                <c:pt idx="953">
                  <c:v>234.49863100633826</c:v>
                </c:pt>
                <c:pt idx="954">
                  <c:v>234.67799085087489</c:v>
                </c:pt>
                <c:pt idx="955">
                  <c:v>234.85745394006068</c:v>
                </c:pt>
                <c:pt idx="956">
                  <c:v>235.03702056777865</c:v>
                </c:pt>
                <c:pt idx="957">
                  <c:v>235.21669102595411</c:v>
                </c:pt>
                <c:pt idx="958">
                  <c:v>235.39646560455415</c:v>
                </c:pt>
                <c:pt idx="959">
                  <c:v>235.5763445915874</c:v>
                </c:pt>
                <c:pt idx="960">
                  <c:v>235.75632827310358</c:v>
                </c:pt>
                <c:pt idx="961">
                  <c:v>235.93641693319339</c:v>
                </c:pt>
                <c:pt idx="962">
                  <c:v>236.11661085398825</c:v>
                </c:pt>
                <c:pt idx="963">
                  <c:v>236.29691031566026</c:v>
                </c:pt>
                <c:pt idx="964">
                  <c:v>236.47731559642207</c:v>
                </c:pt>
                <c:pt idx="965">
                  <c:v>236.65782697252703</c:v>
                </c:pt>
                <c:pt idx="966">
                  <c:v>236.83844471826916</c:v>
                </c:pt>
                <c:pt idx="967">
                  <c:v>237.01916910598331</c:v>
                </c:pt>
                <c:pt idx="968">
                  <c:v>237.2000004060454</c:v>
                </c:pt>
                <c:pt idx="969">
                  <c:v>237.38093888687271</c:v>
                </c:pt>
                <c:pt idx="970">
                  <c:v>237.56198481492413</c:v>
                </c:pt>
                <c:pt idx="971">
                  <c:v>237.74313845470067</c:v>
                </c:pt>
                <c:pt idx="972">
                  <c:v>237.9244000687458</c:v>
                </c:pt>
                <c:pt idx="973">
                  <c:v>238.10576991764603</c:v>
                </c:pt>
                <c:pt idx="974">
                  <c:v>238.28724826003148</c:v>
                </c:pt>
                <c:pt idx="975">
                  <c:v>238.46883535257643</c:v>
                </c:pt>
                <c:pt idx="976">
                  <c:v>238.65053145000019</c:v>
                </c:pt>
                <c:pt idx="977">
                  <c:v>238.83233680506771</c:v>
                </c:pt>
                <c:pt idx="978">
                  <c:v>239.01425166859039</c:v>
                </c:pt>
                <c:pt idx="979">
                  <c:v>239.19627628942706</c:v>
                </c:pt>
                <c:pt idx="980">
                  <c:v>239.37841091448479</c:v>
                </c:pt>
                <c:pt idx="981">
                  <c:v>239.56065578871997</c:v>
                </c:pt>
                <c:pt idx="982">
                  <c:v>239.74301115513927</c:v>
                </c:pt>
                <c:pt idx="983">
                  <c:v>239.9254772548008</c:v>
                </c:pt>
                <c:pt idx="984">
                  <c:v>240.10805432681525</c:v>
                </c:pt>
                <c:pt idx="985">
                  <c:v>240.2907426083471</c:v>
                </c:pt>
                <c:pt idx="986">
                  <c:v>240.47354233461593</c:v>
                </c:pt>
                <c:pt idx="987">
                  <c:v>240.65645373889768</c:v>
                </c:pt>
                <c:pt idx="988">
                  <c:v>240.83947705252601</c:v>
                </c:pt>
                <c:pt idx="989">
                  <c:v>241.02261250489386</c:v>
                </c:pt>
                <c:pt idx="990">
                  <c:v>241.20586032345486</c:v>
                </c:pt>
                <c:pt idx="991">
                  <c:v>241.38922073372478</c:v>
                </c:pt>
                <c:pt idx="992">
                  <c:v>241.57269395928336</c:v>
                </c:pt>
                <c:pt idx="993">
                  <c:v>241.75628022177571</c:v>
                </c:pt>
                <c:pt idx="994">
                  <c:v>241.93997974091417</c:v>
                </c:pt>
                <c:pt idx="995">
                  <c:v>242.12379273447999</c:v>
                </c:pt>
              </c:numCache>
            </c:numRef>
          </c:xVal>
          <c:yVal>
            <c:numRef>
              <c:f>Sheet1!$S$5:$S$1000</c:f>
              <c:numCache>
                <c:formatCode>0.000</c:formatCode>
                <c:ptCount val="996"/>
                <c:pt idx="0">
                  <c:v>0</c:v>
                </c:pt>
                <c:pt idx="1">
                  <c:v>0.39984990663390313</c:v>
                </c:pt>
                <c:pt idx="2">
                  <c:v>0.79939268188510904</c:v>
                </c:pt>
                <c:pt idx="3">
                  <c:v>1.1986145698275548</c:v>
                </c:pt>
                <c:pt idx="4">
                  <c:v>1.5975020786972733</c:v>
                </c:pt>
                <c:pt idx="5">
                  <c:v>1.9960419757725656</c:v>
                </c:pt>
                <c:pt idx="6">
                  <c:v>2.3942212823643203</c:v>
                </c:pt>
                <c:pt idx="7">
                  <c:v>2.792027268913793</c:v>
                </c:pt>
                <c:pt idx="8">
                  <c:v>3.1894474501952326</c:v>
                </c:pt>
                <c:pt idx="9">
                  <c:v>3.5864695806208093</c:v>
                </c:pt>
                <c:pt idx="10">
                  <c:v>3.9830816496453743</c:v>
                </c:pt>
                <c:pt idx="11">
                  <c:v>4.3792718772686428</c:v>
                </c:pt>
                <c:pt idx="12">
                  <c:v>4.7750287096324637</c:v>
                </c:pt>
                <c:pt idx="13">
                  <c:v>5.1703408147109</c:v>
                </c:pt>
                <c:pt idx="14">
                  <c:v>5.5651970780908986</c:v>
                </c:pt>
                <c:pt idx="15">
                  <c:v>5.9595865988414003</c:v>
                </c:pt>
                <c:pt idx="16">
                  <c:v>6.3534986854687929</c:v>
                </c:pt>
                <c:pt idx="17">
                  <c:v>6.7469228519566595</c:v>
                </c:pt>
                <c:pt idx="18">
                  <c:v>7.139848813887844</c:v>
                </c:pt>
                <c:pt idx="19">
                  <c:v>7.5322664846468896</c:v>
                </c:pt>
                <c:pt idx="20">
                  <c:v>7.9241659717009787</c:v>
                </c:pt>
                <c:pt idx="21">
                  <c:v>8.3155375729575294</c:v>
                </c:pt>
                <c:pt idx="22">
                  <c:v>8.7063717731966737</c:v>
                </c:pt>
                <c:pt idx="23">
                  <c:v>9.0966592405768729</c:v>
                </c:pt>
                <c:pt idx="24">
                  <c:v>9.4863908232119751</c:v>
                </c:pt>
                <c:pt idx="25">
                  <c:v>9.8755575458180846</c:v>
                </c:pt>
                <c:pt idx="26">
                  <c:v>10.264150606428604</c:v>
                </c:pt>
                <c:pt idx="27">
                  <c:v>10.652161373175922</c:v>
                </c:pt>
                <c:pt idx="28">
                  <c:v>11.039581381138195</c:v>
                </c:pt>
                <c:pt idx="29">
                  <c:v>11.426402329249758</c:v>
                </c:pt>
                <c:pt idx="30">
                  <c:v>11.812616077273699</c:v>
                </c:pt>
                <c:pt idx="31">
                  <c:v>12.198214642835202</c:v>
                </c:pt>
                <c:pt idx="32">
                  <c:v>12.58319019851429</c:v>
                </c:pt>
                <c:pt idx="33">
                  <c:v>12.967535068996609</c:v>
                </c:pt>
                <c:pt idx="34">
                  <c:v>13.351241728280964</c:v>
                </c:pt>
                <c:pt idx="35">
                  <c:v>13.734302796942337</c:v>
                </c:pt>
                <c:pt idx="36">
                  <c:v>14.116711039449136</c:v>
                </c:pt>
                <c:pt idx="37">
                  <c:v>14.498459361533476</c:v>
                </c:pt>
                <c:pt idx="38">
                  <c:v>14.87954080761331</c:v>
                </c:pt>
                <c:pt idx="39">
                  <c:v>15.259948558265268</c:v>
                </c:pt>
                <c:pt idx="40">
                  <c:v>15.639675927747074</c:v>
                </c:pt>
                <c:pt idx="41">
                  <c:v>16.018716361568451</c:v>
                </c:pt>
                <c:pt idx="42">
                  <c:v>16.397063434109452</c:v>
                </c:pt>
                <c:pt idx="43">
                  <c:v>16.774710846285185</c:v>
                </c:pt>
                <c:pt idx="44">
                  <c:v>17.151652423255904</c:v>
                </c:pt>
                <c:pt idx="45">
                  <c:v>17.527882112181494</c:v>
                </c:pt>
                <c:pt idx="46">
                  <c:v>17.903393980019359</c:v>
                </c:pt>
                <c:pt idx="47">
                  <c:v>18.2781822113648</c:v>
                </c:pt>
                <c:pt idx="48">
                  <c:v>18.652241106332969</c:v>
                </c:pt>
                <c:pt idx="49">
                  <c:v>19.025565078481456</c:v>
                </c:pt>
                <c:pt idx="50">
                  <c:v>19.398148652772715</c:v>
                </c:pt>
                <c:pt idx="51">
                  <c:v>19.769986463575375</c:v>
                </c:pt>
                <c:pt idx="52">
                  <c:v>20.141073252703713</c:v>
                </c:pt>
                <c:pt idx="53">
                  <c:v>20.511403867494376</c:v>
                </c:pt>
                <c:pt idx="54">
                  <c:v>20.880973258919646</c:v>
                </c:pt>
                <c:pt idx="55">
                  <c:v>21.249776479736393</c:v>
                </c:pt>
                <c:pt idx="56">
                  <c:v>21.617808682670042</c:v>
                </c:pt>
                <c:pt idx="57">
                  <c:v>21.985065118632729</c:v>
                </c:pt>
                <c:pt idx="58">
                  <c:v>22.351541134975026</c:v>
                </c:pt>
                <c:pt idx="59">
                  <c:v>22.71723217377043</c:v>
                </c:pt>
                <c:pt idx="60">
                  <c:v>23.08213377013201</c:v>
                </c:pt>
                <c:pt idx="61">
                  <c:v>23.446241550560476</c:v>
                </c:pt>
                <c:pt idx="62">
                  <c:v>23.809551231323088</c:v>
                </c:pt>
                <c:pt idx="63">
                  <c:v>24.172058616862685</c:v>
                </c:pt>
                <c:pt idx="64">
                  <c:v>24.53375959823628</c:v>
                </c:pt>
                <c:pt idx="65">
                  <c:v>24.894650151582567</c:v>
                </c:pt>
                <c:pt idx="66">
                  <c:v>25.25472633661775</c:v>
                </c:pt>
                <c:pt idx="67">
                  <c:v>25.613984295159131</c:v>
                </c:pt>
                <c:pt idx="68">
                  <c:v>25.972420249675878</c:v>
                </c:pt>
                <c:pt idx="69">
                  <c:v>26.330030501866389</c:v>
                </c:pt>
                <c:pt idx="70">
                  <c:v>26.68681143126177</c:v>
                </c:pt>
                <c:pt idx="71">
                  <c:v>27.042759493854845</c:v>
                </c:pt>
                <c:pt idx="72">
                  <c:v>27.397871220754176</c:v>
                </c:pt>
                <c:pt idx="73">
                  <c:v>27.752143216862642</c:v>
                </c:pt>
                <c:pt idx="74">
                  <c:v>28.105572159580021</c:v>
                </c:pt>
                <c:pt idx="75">
                  <c:v>28.458154797529119</c:v>
                </c:pt>
                <c:pt idx="76">
                  <c:v>28.809887949304958</c:v>
                </c:pt>
                <c:pt idx="77">
                  <c:v>29.160768502246608</c:v>
                </c:pt>
                <c:pt idx="78">
                  <c:v>29.510793411231116</c:v>
                </c:pt>
                <c:pt idx="79">
                  <c:v>29.859959697489209</c:v>
                </c:pt>
                <c:pt idx="80">
                  <c:v>30.208264447442218</c:v>
                </c:pt>
                <c:pt idx="81">
                  <c:v>30.555704811559909</c:v>
                </c:pt>
                <c:pt idx="82">
                  <c:v>30.902278003238724</c:v>
                </c:pt>
                <c:pt idx="83">
                  <c:v>31.247981297700083</c:v>
                </c:pt>
                <c:pt idx="84">
                  <c:v>31.592812030908316</c:v>
                </c:pt>
                <c:pt idx="85">
                  <c:v>31.936767598507856</c:v>
                </c:pt>
                <c:pt idx="86">
                  <c:v>32.279845454779327</c:v>
                </c:pt>
                <c:pt idx="87">
                  <c:v>32.622043111614119</c:v>
                </c:pt>
                <c:pt idx="88">
                  <c:v>32.963358137507122</c:v>
                </c:pt>
                <c:pt idx="89">
                  <c:v>33.303788156567265</c:v>
                </c:pt>
                <c:pt idx="90">
                  <c:v>33.643330847545485</c:v>
                </c:pt>
                <c:pt idx="91">
                  <c:v>33.981983942879829</c:v>
                </c:pt>
                <c:pt idx="92">
                  <c:v>34.319745227757295</c:v>
                </c:pt>
                <c:pt idx="93">
                  <c:v>34.656612539192189</c:v>
                </c:pt>
                <c:pt idx="94">
                  <c:v>34.99258376512055</c:v>
                </c:pt>
                <c:pt idx="95">
                  <c:v>35.327656843510461</c:v>
                </c:pt>
                <c:pt idx="96">
                  <c:v>35.661829761487859</c:v>
                </c:pt>
                <c:pt idx="97">
                  <c:v>35.995100554477574</c:v>
                </c:pt>
                <c:pt idx="98">
                  <c:v>36.327467305359285</c:v>
                </c:pt>
                <c:pt idx="99">
                  <c:v>36.658928143638171</c:v>
                </c:pt>
                <c:pt idx="100">
                  <c:v>36.989481244629886</c:v>
                </c:pt>
                <c:pt idx="101">
                  <c:v>37.319124828659675</c:v>
                </c:pt>
                <c:pt idx="102">
                  <c:v>37.647857160275294</c:v>
                </c:pt>
                <c:pt idx="103">
                  <c:v>37.975676547473533</c:v>
                </c:pt>
                <c:pt idx="104">
                  <c:v>38.302581340940016</c:v>
                </c:pt>
                <c:pt idx="105">
                  <c:v>38.628569933302103</c:v>
                </c:pt>
                <c:pt idx="106">
                  <c:v>38.953640758394585</c:v>
                </c:pt>
                <c:pt idx="107">
                  <c:v>39.277792290537967</c:v>
                </c:pt>
                <c:pt idx="108">
                  <c:v>39.601023043829137</c:v>
                </c:pt>
                <c:pt idx="109">
                  <c:v>39.923331571444066</c:v>
                </c:pt>
                <c:pt idx="110">
                  <c:v>40.244716464952489</c:v>
                </c:pt>
                <c:pt idx="111">
                  <c:v>40.565176353644198</c:v>
                </c:pt>
                <c:pt idx="112">
                  <c:v>40.884709903866792</c:v>
                </c:pt>
                <c:pt idx="113">
                  <c:v>41.203315818374719</c:v>
                </c:pt>
                <c:pt idx="114">
                  <c:v>41.520992835689277</c:v>
                </c:pt>
                <c:pt idx="115">
                  <c:v>41.837739729469504</c:v>
                </c:pt>
                <c:pt idx="116">
                  <c:v>42.153555307893683</c:v>
                </c:pt>
                <c:pt idx="117">
                  <c:v>42.468438413051281</c:v>
                </c:pt>
                <c:pt idx="118">
                  <c:v>42.782387920345123</c:v>
                </c:pt>
                <c:pt idx="119">
                  <c:v>43.095402737903676</c:v>
                </c:pt>
                <c:pt idx="120">
                  <c:v>43.40748180600314</c:v>
                </c:pt>
                <c:pt idx="121">
                  <c:v>43.71862409649929</c:v>
                </c:pt>
                <c:pt idx="122">
                  <c:v>44.028828612268825</c:v>
                </c:pt>
                <c:pt idx="123">
                  <c:v>44.338094386660032</c:v>
                </c:pt>
                <c:pt idx="124">
                  <c:v>44.646420482952692</c:v>
                </c:pt>
                <c:pt idx="125">
                  <c:v>44.953805993826968</c:v>
                </c:pt>
                <c:pt idx="126">
                  <c:v>45.260250040841136</c:v>
                </c:pt>
                <c:pt idx="127">
                  <c:v>45.565751773918024</c:v>
                </c:pt>
                <c:pt idx="128">
                  <c:v>45.870310370839988</c:v>
                </c:pt>
                <c:pt idx="129">
                  <c:v>46.17392503675228</c:v>
                </c:pt>
                <c:pt idx="130">
                  <c:v>46.476595003674632</c:v>
                </c:pt>
                <c:pt idx="131">
                  <c:v>46.778319530020951</c:v>
                </c:pt>
                <c:pt idx="132">
                  <c:v>47.079097900126968</c:v>
                </c:pt>
                <c:pt idx="133">
                  <c:v>47.378929423785657</c:v>
                </c:pt>
                <c:pt idx="134">
                  <c:v>47.677813435790334</c:v>
                </c:pt>
                <c:pt idx="135">
                  <c:v>47.975749295485329</c:v>
                </c:pt>
                <c:pt idx="136">
                  <c:v>48.272736386323984</c:v>
                </c:pt>
                <c:pt idx="137">
                  <c:v>48.568774115433996</c:v>
                </c:pt>
                <c:pt idx="138">
                  <c:v>48.86386191318983</c:v>
                </c:pt>
                <c:pt idx="139">
                  <c:v>49.157999232792207</c:v>
                </c:pt>
                <c:pt idx="140">
                  <c:v>49.451185549854451</c:v>
                </c:pt>
                <c:pt idx="141">
                  <c:v>49.743420361995632</c:v>
                </c:pt>
                <c:pt idx="142">
                  <c:v>50.034703188440339</c:v>
                </c:pt>
                <c:pt idx="143">
                  <c:v>50.325033569625027</c:v>
                </c:pt>
                <c:pt idx="144">
                  <c:v>50.614411066810753</c:v>
                </c:pt>
                <c:pt idx="145">
                  <c:v>50.902835261702258</c:v>
                </c:pt>
                <c:pt idx="146">
                  <c:v>51.190305756073251</c:v>
                </c:pt>
                <c:pt idx="147">
                  <c:v>51.476822171397764</c:v>
                </c:pt>
                <c:pt idx="148">
                  <c:v>51.762384148487556</c:v>
                </c:pt>
                <c:pt idx="149">
                  <c:v>52.046991347135339</c:v>
                </c:pt>
                <c:pt idx="150">
                  <c:v>52.330643445763876</c:v>
                </c:pt>
                <c:pt idx="151">
                  <c:v>52.613340141080684</c:v>
                </c:pt>
                <c:pt idx="152">
                  <c:v>52.895081147738409</c:v>
                </c:pt>
                <c:pt idx="153">
                  <c:v>53.175866198000662</c:v>
                </c:pt>
                <c:pt idx="154">
                  <c:v>53.455695041413271</c:v>
                </c:pt>
                <c:pt idx="155">
                  <c:v>53.734567444480831</c:v>
                </c:pt>
                <c:pt idx="156">
                  <c:v>54.01248319034849</c:v>
                </c:pt>
                <c:pt idx="157">
                  <c:v>54.289442078488911</c:v>
                </c:pt>
                <c:pt idx="158">
                  <c:v>54.565443924394202</c:v>
                </c:pt>
                <c:pt idx="159">
                  <c:v>54.840488559272877</c:v>
                </c:pt>
                <c:pt idx="160">
                  <c:v>55.114575829751686</c:v>
                </c:pt>
                <c:pt idx="161">
                  <c:v>55.387705597582226</c:v>
                </c:pt>
                <c:pt idx="162">
                  <c:v>55.659877739352289</c:v>
                </c:pt>
                <c:pt idx="163">
                  <c:v>55.931092146201834</c:v>
                </c:pt>
                <c:pt idx="164">
                  <c:v>56.201348723543546</c:v>
                </c:pt>
                <c:pt idx="165">
                  <c:v>56.470647390787889</c:v>
                </c:pt>
                <c:pt idx="166">
                  <c:v>56.738988081072506</c:v>
                </c:pt>
                <c:pt idx="167">
                  <c:v>57.006370740996068</c:v>
                </c:pt>
                <c:pt idx="168">
                  <c:v>57.272795330356281</c:v>
                </c:pt>
                <c:pt idx="169">
                  <c:v>57.538261821892185</c:v>
                </c:pt>
                <c:pt idx="170">
                  <c:v>57.802770201030505</c:v>
                </c:pt>
                <c:pt idx="171">
                  <c:v>58.066320465636124</c:v>
                </c:pt>
                <c:pt idx="172">
                  <c:v>58.328912625766527</c:v>
                </c:pt>
                <c:pt idx="173">
                  <c:v>58.590546703430178</c:v>
                </c:pt>
                <c:pt idx="174">
                  <c:v>58.851222732348738</c:v>
                </c:pt>
                <c:pt idx="175">
                  <c:v>59.110940757723128</c:v>
                </c:pt>
                <c:pt idx="176">
                  <c:v>59.369700836003311</c:v>
                </c:pt>
                <c:pt idx="177">
                  <c:v>59.627503034661757</c:v>
                </c:pt>
                <c:pt idx="178">
                  <c:v>59.884347431970539</c:v>
                </c:pt>
                <c:pt idx="179">
                  <c:v>60.140234116781976</c:v>
                </c:pt>
                <c:pt idx="180">
                  <c:v>60.395163188312772</c:v>
                </c:pt>
                <c:pt idx="181">
                  <c:v>60.649134755931648</c:v>
                </c:pt>
                <c:pt idx="182">
                  <c:v>60.902148938950333</c:v>
                </c:pt>
                <c:pt idx="183">
                  <c:v>61.154205866417897</c:v>
                </c:pt>
                <c:pt idx="184">
                  <c:v>61.405305676918381</c:v>
                </c:pt>
                <c:pt idx="185">
                  <c:v>61.655448518371649</c:v>
                </c:pt>
                <c:pt idx="186">
                  <c:v>61.904634547837439</c:v>
                </c:pt>
                <c:pt idx="187">
                  <c:v>62.152863931322536</c:v>
                </c:pt>
                <c:pt idx="188">
                  <c:v>62.400136843591028</c:v>
                </c:pt>
                <c:pt idx="189">
                  <c:v>62.646453467977587</c:v>
                </c:pt>
                <c:pt idx="190">
                  <c:v>62.891813996203759</c:v>
                </c:pt>
                <c:pt idx="191">
                  <c:v>63.136218628197184</c:v>
                </c:pt>
                <c:pt idx="192">
                  <c:v>63.379667571913686</c:v>
                </c:pt>
                <c:pt idx="193">
                  <c:v>63.622161043162258</c:v>
                </c:pt>
                <c:pt idx="194">
                  <c:v>63.863699265432793</c:v>
                </c:pt>
                <c:pt idx="195">
                  <c:v>64.104282469726627</c:v>
                </c:pt>
                <c:pt idx="196">
                  <c:v>64.343910894389793</c:v>
                </c:pt>
                <c:pt idx="197">
                  <c:v>64.582584784948907</c:v>
                </c:pt>
                <c:pt idx="198">
                  <c:v>64.820304393949726</c:v>
                </c:pt>
                <c:pt idx="199">
                  <c:v>65.057069980798289</c:v>
                </c:pt>
                <c:pt idx="200">
                  <c:v>65.292881811604616</c:v>
                </c:pt>
                <c:pt idx="201">
                  <c:v>65.527740159028923</c:v>
                </c:pt>
                <c:pt idx="202">
                  <c:v>65.761645302130304</c:v>
                </c:pt>
                <c:pt idx="203">
                  <c:v>65.994597526217845</c:v>
                </c:pt>
                <c:pt idx="204">
                  <c:v>66.226597122704163</c:v>
                </c:pt>
                <c:pt idx="205">
                  <c:v>66.457644388961299</c:v>
                </c:pt>
                <c:pt idx="206">
                  <c:v>66.687739628178903</c:v>
                </c:pt>
                <c:pt idx="207">
                  <c:v>66.916883149224788</c:v>
                </c:pt>
                <c:pt idx="208">
                  <c:v>67.145075266507689</c:v>
                </c:pt>
                <c:pt idx="209">
                  <c:v>67.372316299842254</c:v>
                </c:pt>
                <c:pt idx="210">
                  <c:v>67.598606574316221</c:v>
                </c:pt>
                <c:pt idx="211">
                  <c:v>67.8239464201598</c:v>
                </c:pt>
                <c:pt idx="212">
                  <c:v>68.048336172617113</c:v>
                </c:pt>
                <c:pt idx="213">
                  <c:v>68.271776171819809</c:v>
                </c:pt>
                <c:pt idx="214">
                  <c:v>68.494266762662633</c:v>
                </c:pt>
                <c:pt idx="215">
                  <c:v>68.715808294681167</c:v>
                </c:pt>
                <c:pt idx="216">
                  <c:v>68.936401121931439</c:v>
                </c:pt>
                <c:pt idx="217">
                  <c:v>69.156045602871657</c:v>
                </c:pt>
                <c:pt idx="218">
                  <c:v>69.374742100245697</c:v>
                </c:pt>
                <c:pt idx="219">
                  <c:v>69.592490980968691</c:v>
                </c:pt>
                <c:pt idx="220">
                  <c:v>69.809292616014417</c:v>
                </c:pt>
                <c:pt idx="221">
                  <c:v>70.02514738030456</c:v>
                </c:pt>
                <c:pt idx="222">
                  <c:v>70.240055652599807</c:v>
                </c:pt>
                <c:pt idx="223">
                  <c:v>70.454017815392731</c:v>
                </c:pt>
                <c:pt idx="224">
                  <c:v>70.667034254802545</c:v>
                </c:pt>
                <c:pt idx="225">
                  <c:v>70.879105360471499</c:v>
                </c:pt>
                <c:pt idx="226">
                  <c:v>71.090231525463096</c:v>
                </c:pt>
                <c:pt idx="227">
                  <c:v>71.300413146161958</c:v>
                </c:pt>
                <c:pt idx="228">
                  <c:v>71.509650622175414</c:v>
                </c:pt>
                <c:pt idx="229">
                  <c:v>71.717944356236742</c:v>
                </c:pt>
                <c:pt idx="230">
                  <c:v>71.925294754110027</c:v>
                </c:pt>
                <c:pt idx="231">
                  <c:v>72.131702224496635</c:v>
                </c:pt>
                <c:pt idx="232">
                  <c:v>72.337167178943346</c:v>
                </c:pt>
                <c:pt idx="233">
                  <c:v>72.541690031751941</c:v>
                </c:pt>
                <c:pt idx="234">
                  <c:v>72.745271199890425</c:v>
                </c:pt>
                <c:pt idx="235">
                  <c:v>72.947911102905749</c:v>
                </c:pt>
                <c:pt idx="236">
                  <c:v>73.14961016283803</c:v>
                </c:pt>
                <c:pt idx="237">
                  <c:v>73.350368804136252</c:v>
                </c:pt>
                <c:pt idx="238">
                  <c:v>73.550187453575461</c:v>
                </c:pt>
                <c:pt idx="239">
                  <c:v>73.749066540175392</c:v>
                </c:pt>
                <c:pt idx="240">
                  <c:v>73.947006495120505</c:v>
                </c:pt>
                <c:pt idx="241">
                  <c:v>74.1440077516814</c:v>
                </c:pt>
                <c:pt idx="242">
                  <c:v>74.340070745137723</c:v>
                </c:pt>
                <c:pt idx="243">
                  <c:v>74.535195912702335</c:v>
                </c:pt>
                <c:pt idx="244">
                  <c:v>74.729383693446877</c:v>
                </c:pt>
                <c:pt idx="245">
                  <c:v>74.922634528228684</c:v>
                </c:pt>
                <c:pt idx="246">
                  <c:v>75.114948859618977</c:v>
                </c:pt>
                <c:pt idx="247">
                  <c:v>75.306327131832333</c:v>
                </c:pt>
                <c:pt idx="248">
                  <c:v>75.496769790657538</c:v>
                </c:pt>
                <c:pt idx="249">
                  <c:v>75.6862772833896</c:v>
                </c:pt>
                <c:pt idx="250">
                  <c:v>75.874850058763059</c:v>
                </c:pt>
                <c:pt idx="251">
                  <c:v>76.062488566886515</c:v>
                </c:pt>
                <c:pt idx="252">
                  <c:v>76.249193259178384</c:v>
                </c:pt>
                <c:pt idx="253">
                  <c:v>76.43496458830387</c:v>
                </c:pt>
                <c:pt idx="254">
                  <c:v>76.619803008113053</c:v>
                </c:pt>
                <c:pt idx="255">
                  <c:v>76.803708973580228</c:v>
                </c:pt>
                <c:pt idx="256">
                  <c:v>76.986682940744373</c:v>
                </c:pt>
                <c:pt idx="257">
                  <c:v>77.168725366650747</c:v>
                </c:pt>
                <c:pt idx="258">
                  <c:v>77.349836709293641</c:v>
                </c:pt>
                <c:pt idx="259">
                  <c:v>77.530017427560182</c:v>
                </c:pt>
                <c:pt idx="260">
                  <c:v>77.709267981175373</c:v>
                </c:pt>
                <c:pt idx="261">
                  <c:v>77.887588830648028</c:v>
                </c:pt>
                <c:pt idx="262">
                  <c:v>78.06498043721794</c:v>
                </c:pt>
                <c:pt idx="263">
                  <c:v>78.241443262804069</c:v>
                </c:pt>
                <c:pt idx="264">
                  <c:v>78.416977769953732</c:v>
                </c:pt>
                <c:pt idx="265">
                  <c:v>78.591584421792888</c:v>
                </c:pt>
                <c:pt idx="266">
                  <c:v>78.765263681977402</c:v>
                </c:pt>
                <c:pt idx="267">
                  <c:v>78.938016014645314</c:v>
                </c:pt>
                <c:pt idx="268">
                  <c:v>79.109841884370226</c:v>
                </c:pt>
                <c:pt idx="269">
                  <c:v>79.280741756115489</c:v>
                </c:pt>
                <c:pt idx="270">
                  <c:v>79.450716095189534</c:v>
                </c:pt>
                <c:pt idx="271">
                  <c:v>79.619765367202064</c:v>
                </c:pt>
                <c:pt idx="272">
                  <c:v>79.787890038021231</c:v>
                </c:pt>
                <c:pt idx="273">
                  <c:v>79.955090573731837</c:v>
                </c:pt>
                <c:pt idx="274">
                  <c:v>80.121367440594298</c:v>
                </c:pt>
                <c:pt idx="275">
                  <c:v>80.286721105004716</c:v>
                </c:pt>
                <c:pt idx="276">
                  <c:v>80.451152033455756</c:v>
                </c:pt>
                <c:pt idx="277">
                  <c:v>80.614660692498433</c:v>
                </c:pt>
                <c:pt idx="278">
                  <c:v>80.777247548704821</c:v>
                </c:pt>
                <c:pt idx="279">
                  <c:v>80.938913068631692</c:v>
                </c:pt>
                <c:pt idx="280">
                  <c:v>81.099657718784897</c:v>
                </c:pt>
                <c:pt idx="281">
                  <c:v>81.259481965584769</c:v>
                </c:pt>
                <c:pt idx="282">
                  <c:v>81.418386275332267</c:v>
                </c:pt>
                <c:pt idx="283">
                  <c:v>81.576371114176013</c:v>
                </c:pt>
                <c:pt idx="284">
                  <c:v>81.733436948080154</c:v>
                </c:pt>
                <c:pt idx="285">
                  <c:v>81.889584242793134</c:v>
                </c:pt>
                <c:pt idx="286">
                  <c:v>82.04481346381715</c:v>
                </c:pt>
                <c:pt idx="287">
                  <c:v>82.199125076378508</c:v>
                </c:pt>
                <c:pt idx="288">
                  <c:v>82.352519545398806</c:v>
                </c:pt>
                <c:pt idx="289">
                  <c:v>82.504997335466868</c:v>
                </c:pt>
                <c:pt idx="290">
                  <c:v>82.656558910811455</c:v>
                </c:pt>
                <c:pt idx="291">
                  <c:v>82.807204735274823</c:v>
                </c:pt>
                <c:pt idx="292">
                  <c:v>82.956935272286998</c:v>
                </c:pt>
                <c:pt idx="293">
                  <c:v>83.105750984840853</c:v>
                </c:pt>
                <c:pt idx="294">
                  <c:v>83.253652335467933</c:v>
                </c:pt>
                <c:pt idx="295">
                  <c:v>83.40063978621501</c:v>
                </c:pt>
                <c:pt idx="296">
                  <c:v>83.546713798621482</c:v>
                </c:pt>
                <c:pt idx="297">
                  <c:v>83.691874833697355</c:v>
                </c:pt>
                <c:pt idx="298">
                  <c:v>83.836123351902089</c:v>
                </c:pt>
                <c:pt idx="299">
                  <c:v>83.979459813124151</c:v>
                </c:pt>
                <c:pt idx="300">
                  <c:v>84.12188467666121</c:v>
                </c:pt>
                <c:pt idx="301">
                  <c:v>84.26339840120113</c:v>
                </c:pt>
                <c:pt idx="302">
                  <c:v>84.404001444803654</c:v>
                </c:pt>
                <c:pt idx="303">
                  <c:v>84.54369426488276</c:v>
                </c:pt>
                <c:pt idx="304">
                  <c:v>84.682477318189711</c:v>
                </c:pt>
                <c:pt idx="305">
                  <c:v>84.820351060796867</c:v>
                </c:pt>
                <c:pt idx="306">
                  <c:v>84.957315948082098</c:v>
                </c:pt>
                <c:pt idx="307">
                  <c:v>85.093372434713885</c:v>
                </c:pt>
                <c:pt idx="308">
                  <c:v>85.228520974637178</c:v>
                </c:pt>
                <c:pt idx="309">
                  <c:v>85.362762021059794</c:v>
                </c:pt>
                <c:pt idx="310">
                  <c:v>85.496096026439616</c:v>
                </c:pt>
                <c:pt idx="311">
                  <c:v>85.6285234424723</c:v>
                </c:pt>
                <c:pt idx="312">
                  <c:v>85.760044720079776</c:v>
                </c:pt>
                <c:pt idx="313">
                  <c:v>85.89066030939928</c:v>
                </c:pt>
                <c:pt idx="314">
                  <c:v>86.020370659773135</c:v>
                </c:pt>
                <c:pt idx="315">
                  <c:v>86.149176219739076</c:v>
                </c:pt>
                <c:pt idx="316">
                  <c:v>86.277077437021234</c:v>
                </c:pt>
                <c:pt idx="317">
                  <c:v>86.404074758521773</c:v>
                </c:pt>
                <c:pt idx="318">
                  <c:v>86.53016863031317</c:v>
                </c:pt>
                <c:pt idx="319">
                  <c:v>86.655359497631025</c:v>
                </c:pt>
                <c:pt idx="320">
                  <c:v>86.779647804867579</c:v>
                </c:pt>
                <c:pt idx="321">
                  <c:v>86.903033995565792</c:v>
                </c:pt>
                <c:pt idx="322">
                  <c:v>87.02551851241401</c:v>
                </c:pt>
                <c:pt idx="323">
                  <c:v>87.147101797241291</c:v>
                </c:pt>
                <c:pt idx="324">
                  <c:v>87.267784291013299</c:v>
                </c:pt>
                <c:pt idx="325">
                  <c:v>87.387566433828752</c:v>
                </c:pt>
                <c:pt idx="326">
                  <c:v>87.506448664916519</c:v>
                </c:pt>
                <c:pt idx="327">
                  <c:v>87.624431422633279</c:v>
                </c:pt>
                <c:pt idx="328">
                  <c:v>87.741515144461758</c:v>
                </c:pt>
                <c:pt idx="329">
                  <c:v>87.857700267009534</c:v>
                </c:pt>
                <c:pt idx="330">
                  <c:v>87.972987226008399</c:v>
                </c:pt>
                <c:pt idx="331">
                  <c:v>88.087376456314388</c:v>
                </c:pt>
                <c:pt idx="332">
                  <c:v>88.200868391908202</c:v>
                </c:pt>
                <c:pt idx="333">
                  <c:v>88.313463465896405</c:v>
                </c:pt>
                <c:pt idx="334">
                  <c:v>88.425162110512943</c:v>
                </c:pt>
                <c:pt idx="335">
                  <c:v>88.535964757121434</c:v>
                </c:pt>
                <c:pt idx="336">
                  <c:v>88.64587183621785</c:v>
                </c:pt>
                <c:pt idx="337">
                  <c:v>88.754883777433861</c:v>
                </c:pt>
                <c:pt idx="338">
                  <c:v>88.863001009540625</c:v>
                </c:pt>
                <c:pt idx="339">
                  <c:v>88.970223960453211</c:v>
                </c:pt>
                <c:pt idx="340">
                  <c:v>89.076553057235458</c:v>
                </c:pt>
                <c:pt idx="341">
                  <c:v>89.181988726105459</c:v>
                </c:pt>
                <c:pt idx="342">
                  <c:v>89.28653139244156</c:v>
                </c:pt>
                <c:pt idx="343">
                  <c:v>89.390181480788783</c:v>
                </c:pt>
                <c:pt idx="344">
                  <c:v>89.492939414865916</c:v>
                </c:pt>
                <c:pt idx="345">
                  <c:v>89.594805617573073</c:v>
                </c:pt>
                <c:pt idx="346">
                  <c:v>89.695780510999711</c:v>
                </c:pt>
                <c:pt idx="347">
                  <c:v>89.795864516433213</c:v>
                </c:pt>
                <c:pt idx="348">
                  <c:v>89.895058054368022</c:v>
                </c:pt>
                <c:pt idx="349">
                  <c:v>89.993361544515153</c:v>
                </c:pt>
                <c:pt idx="350">
                  <c:v>90.090775405812394</c:v>
                </c:pt>
                <c:pt idx="351">
                  <c:v>90.187300056434793</c:v>
                </c:pt>
                <c:pt idx="352">
                  <c:v>90.282935913805844</c:v>
                </c:pt>
                <c:pt idx="353">
                  <c:v>90.377683394609036</c:v>
                </c:pt>
                <c:pt idx="354">
                  <c:v>90.471542914799926</c:v>
                </c:pt>
                <c:pt idx="355">
                  <c:v>90.564514889618735</c:v>
                </c:pt>
                <c:pt idx="356">
                  <c:v>90.656599733603358</c:v>
                </c:pt>
                <c:pt idx="357">
                  <c:v>90.747797860602944</c:v>
                </c:pt>
                <c:pt idx="358">
                  <c:v>90.83810968379187</c:v>
                </c:pt>
                <c:pt idx="359">
                  <c:v>90.927535615684263</c:v>
                </c:pt>
                <c:pt idx="360">
                  <c:v>91.016076068148919</c:v>
                </c:pt>
                <c:pt idx="361">
                  <c:v>91.103731452424739</c:v>
                </c:pt>
                <c:pt idx="362">
                  <c:v>91.190502179136644</c:v>
                </c:pt>
                <c:pt idx="363">
                  <c:v>91.276388658311888</c:v>
                </c:pt>
                <c:pt idx="364">
                  <c:v>91.361391299396885</c:v>
                </c:pt>
                <c:pt idx="365">
                  <c:v>91.445510511274477</c:v>
                </c:pt>
                <c:pt idx="366">
                  <c:v>91.528746702281666</c:v>
                </c:pt>
                <c:pt idx="367">
                  <c:v>91.611100280227717</c:v>
                </c:pt>
                <c:pt idx="368">
                  <c:v>91.692571652412823</c:v>
                </c:pt>
                <c:pt idx="369">
                  <c:v>91.773161225647144</c:v>
                </c:pt>
                <c:pt idx="370">
                  <c:v>91.852869406270258</c:v>
                </c:pt>
                <c:pt idx="371">
                  <c:v>91.931696600171122</c:v>
                </c:pt>
                <c:pt idx="372">
                  <c:v>92.009643212808413</c:v>
                </c:pt>
                <c:pt idx="373">
                  <c:v>92.086709649231295</c:v>
                </c:pt>
                <c:pt idx="374">
                  <c:v>92.162896314100621</c:v>
                </c:pt>
                <c:pt idx="375">
                  <c:v>92.238203611710574</c:v>
                </c:pt>
                <c:pt idx="376">
                  <c:v>92.31263194601064</c:v>
                </c:pt>
                <c:pt idx="377">
                  <c:v>92.38618172062813</c:v>
                </c:pt>
                <c:pt idx="378">
                  <c:v>92.458853338890989</c:v>
                </c:pt>
                <c:pt idx="379">
                  <c:v>92.530647203851089</c:v>
                </c:pt>
                <c:pt idx="380">
                  <c:v>92.601563718307858</c:v>
                </c:pt>
                <c:pt idx="381">
                  <c:v>92.671603284832344</c:v>
                </c:pt>
                <c:pt idx="382">
                  <c:v>92.740766305791666</c:v>
                </c:pt>
                <c:pt idx="383">
                  <c:v>92.809053183373848</c:v>
                </c:pt>
                <c:pt idx="384">
                  <c:v>92.876464319613035</c:v>
                </c:pt>
                <c:pt idx="385">
                  <c:v>92.943000116415092</c:v>
                </c:pt>
                <c:pt idx="386">
                  <c:v>93.008660975583609</c:v>
                </c:pt>
                <c:pt idx="387">
                  <c:v>93.07344729884619</c:v>
                </c:pt>
                <c:pt idx="388">
                  <c:v>93.137359487881184</c:v>
                </c:pt>
                <c:pt idx="389">
                  <c:v>93.200397944344786</c:v>
                </c:pt>
                <c:pt idx="390">
                  <c:v>93.262563069898434</c:v>
                </c:pt>
                <c:pt idx="391">
                  <c:v>93.323855266236635</c:v>
                </c:pt>
                <c:pt idx="392">
                  <c:v>93.384274935115016</c:v>
                </c:pt>
                <c:pt idx="393">
                  <c:v>93.443822478378891</c:v>
                </c:pt>
                <c:pt idx="394">
                  <c:v>93.502498297992005</c:v>
                </c:pt>
                <c:pt idx="395">
                  <c:v>93.560302796065727</c:v>
                </c:pt>
                <c:pt idx="396">
                  <c:v>93.617236374888478</c:v>
                </c:pt>
                <c:pt idx="397">
                  <c:v>93.673299436955574</c:v>
                </c:pt>
                <c:pt idx="398">
                  <c:v>93.728492384999313</c:v>
                </c:pt>
                <c:pt idx="399">
                  <c:v>93.782815622019413</c:v>
                </c:pt>
                <c:pt idx="400">
                  <c:v>93.836269551313748</c:v>
                </c:pt>
                <c:pt idx="401">
                  <c:v>93.888854576509374</c:v>
                </c:pt>
                <c:pt idx="402">
                  <c:v>93.940571101593889</c:v>
                </c:pt>
                <c:pt idx="403">
                  <c:v>93.991419530947041</c:v>
                </c:pt>
                <c:pt idx="404">
                  <c:v>94.041400269372616</c:v>
                </c:pt>
                <c:pt idx="405">
                  <c:v>94.090513722130694</c:v>
                </c:pt>
                <c:pt idx="406">
                  <c:v>94.138760294970055</c:v>
                </c:pt>
                <c:pt idx="407">
                  <c:v>94.186140394160915</c:v>
                </c:pt>
                <c:pt idx="408">
                  <c:v>94.232654426527972</c:v>
                </c:pt>
                <c:pt idx="409">
                  <c:v>94.278302799483583</c:v>
                </c:pt>
                <c:pt idx="410">
                  <c:v>94.32308592106132</c:v>
                </c:pt>
                <c:pt idx="411">
                  <c:v>94.36700419994969</c:v>
                </c:pt>
                <c:pt idx="412">
                  <c:v>94.410058045526114</c:v>
                </c:pt>
                <c:pt idx="413">
                  <c:v>94.452247867891145</c:v>
                </c:pt>
                <c:pt idx="414">
                  <c:v>94.493574077902906</c:v>
                </c:pt>
                <c:pt idx="415">
                  <c:v>94.534037087211729</c:v>
                </c:pt>
                <c:pt idx="416">
                  <c:v>94.573637308295048</c:v>
                </c:pt>
                <c:pt idx="417">
                  <c:v>94.612375154492426</c:v>
                </c:pt>
                <c:pt idx="418">
                  <c:v>94.650251040040828</c:v>
                </c:pt>
                <c:pt idx="419">
                  <c:v>94.687265380110134</c:v>
                </c:pt>
                <c:pt idx="420">
                  <c:v>94.723418590838691</c:v>
                </c:pt>
                <c:pt idx="421">
                  <c:v>94.758711089369186</c:v>
                </c:pt>
                <c:pt idx="422">
                  <c:v>94.793143293884626</c:v>
                </c:pt>
                <c:pt idx="423">
                  <c:v>94.826715623644461</c:v>
                </c:pt>
                <c:pt idx="424">
                  <c:v>94.859428499020893</c:v>
                </c:pt>
                <c:pt idx="425">
                  <c:v>94.891282341535359</c:v>
                </c:pt>
                <c:pt idx="426">
                  <c:v>94.922277573895073</c:v>
                </c:pt>
                <c:pt idx="427">
                  <c:v>94.952414620029757</c:v>
                </c:pt>
                <c:pt idx="428">
                  <c:v>94.981693905128523</c:v>
                </c:pt>
                <c:pt idx="429">
                  <c:v>95.010115855676801</c:v>
                </c:pt>
                <c:pt idx="430">
                  <c:v>95.037680899493424</c:v>
                </c:pt>
                <c:pt idx="431">
                  <c:v>95.064389465767789</c:v>
                </c:pt>
                <c:pt idx="432">
                  <c:v>95.090241985097123</c:v>
                </c:pt>
                <c:pt idx="433">
                  <c:v>95.115238889523894</c:v>
                </c:pt>
                <c:pt idx="434">
                  <c:v>95.139380612573163</c:v>
                </c:pt>
                <c:pt idx="435">
                  <c:v>95.162667589290137</c:v>
                </c:pt>
                <c:pt idx="436">
                  <c:v>95.185100256277721</c:v>
                </c:pt>
                <c:pt idx="437">
                  <c:v>95.206679051734127</c:v>
                </c:pt>
                <c:pt idx="438">
                  <c:v>95.227404415490568</c:v>
                </c:pt>
                <c:pt idx="439">
                  <c:v>95.247276789048911</c:v>
                </c:pt>
                <c:pt idx="440">
                  <c:v>95.266296615619439</c:v>
                </c:pt>
                <c:pt idx="441">
                  <c:v>95.284464340158607</c:v>
                </c:pt>
                <c:pt idx="442">
                  <c:v>95.301780409406803</c:v>
                </c:pt>
                <c:pt idx="443">
                  <c:v>95.318245271926088</c:v>
                </c:pt>
                <c:pt idx="444">
                  <c:v>95.333859378138001</c:v>
                </c:pt>
                <c:pt idx="445">
                  <c:v>95.348623180361258</c:v>
                </c:pt>
                <c:pt idx="446">
                  <c:v>95.362537132849553</c:v>
                </c:pt>
                <c:pt idx="447">
                  <c:v>95.375601691829218</c:v>
                </c:pt>
                <c:pt idx="448">
                  <c:v>95.38781731553685</c:v>
                </c:pt>
                <c:pt idx="449">
                  <c:v>95.399184464257004</c:v>
                </c:pt>
                <c:pt idx="450">
                  <c:v>95.409703600359734</c:v>
                </c:pt>
                <c:pt idx="451">
                  <c:v>95.419375188338023</c:v>
                </c:pt>
                <c:pt idx="452">
                  <c:v>95.42819969484529</c:v>
                </c:pt>
                <c:pt idx="453">
                  <c:v>95.436177588732718</c:v>
                </c:pt>
                <c:pt idx="454">
                  <c:v>95.44330934108649</c:v>
                </c:pt>
                <c:pt idx="455">
                  <c:v>95.44959542526496</c:v>
                </c:pt>
                <c:pt idx="456">
                  <c:v>95.455036316935704</c:v>
                </c:pt>
                <c:pt idx="457">
                  <c:v>95.459632494112498</c:v>
                </c:pt>
                <c:pt idx="458">
                  <c:v>95.463384437192047</c:v>
                </c:pt>
                <c:pt idx="459">
                  <c:v>95.466292628990786</c:v>
                </c:pt>
                <c:pt idx="460">
                  <c:v>95.468357554781306</c:v>
                </c:pt>
                <c:pt idx="461">
                  <c:v>95.469579702328843</c:v>
                </c:pt>
                <c:pt idx="462">
                  <c:v>95.469959561927482</c:v>
                </c:pt>
                <c:pt idx="463">
                  <c:v>95.469497626436265</c:v>
                </c:pt>
                <c:pt idx="464">
                  <c:v>95.468194391315066</c:v>
                </c:pt>
                <c:pt idx="465">
                  <c:v>95.466050354660311</c:v>
                </c:pt>
                <c:pt idx="466">
                  <c:v>95.463066017240521</c:v>
                </c:pt>
                <c:pt idx="467">
                  <c:v>95.459241882531671</c:v>
                </c:pt>
                <c:pt idx="468">
                  <c:v>95.454578456752301</c:v>
                </c:pt>
                <c:pt idx="469">
                  <c:v>95.449076248898479</c:v>
                </c:pt>
                <c:pt idx="470">
                  <c:v>95.442735770778413</c:v>
                </c:pt>
                <c:pt idx="471">
                  <c:v>95.435557537046989</c:v>
                </c:pt>
                <c:pt idx="472">
                  <c:v>95.427542065240033</c:v>
                </c:pt>
                <c:pt idx="473">
                  <c:v>95.418689875808198</c:v>
                </c:pt>
                <c:pt idx="474">
                  <c:v>95.409001492150821</c:v>
                </c:pt>
                <c:pt idx="475">
                  <c:v>95.398477440649287</c:v>
                </c:pt>
                <c:pt idx="476">
                  <c:v>95.387118250700354</c:v>
                </c:pt>
                <c:pt idx="477">
                  <c:v>95.374924454749006</c:v>
                </c:pt>
                <c:pt idx="478">
                  <c:v>95.361896588321159</c:v>
                </c:pt>
                <c:pt idx="479">
                  <c:v>95.348035190056009</c:v>
                </c:pt>
                <c:pt idx="480">
                  <c:v>95.333340801738117</c:v>
                </c:pt>
                <c:pt idx="481">
                  <c:v>95.317813968329176</c:v>
                </c:pt>
                <c:pt idx="482">
                  <c:v>95.301455237999463</c:v>
                </c:pt>
                <c:pt idx="483">
                  <c:v>95.284265162159002</c:v>
                </c:pt>
                <c:pt idx="484">
                  <c:v>95.266244295488406</c:v>
                </c:pt>
                <c:pt idx="485">
                  <c:v>95.247393195969352</c:v>
                </c:pt>
                <c:pt idx="486">
                  <c:v>95.227712424914742</c:v>
                </c:pt>
                <c:pt idx="487">
                  <c:v>95.207202546998531</c:v>
                </c:pt>
                <c:pt idx="488">
                  <c:v>95.185864130285211</c:v>
                </c:pt>
                <c:pt idx="489">
                  <c:v>95.163697746258904</c:v>
                </c:pt>
                <c:pt idx="490">
                  <c:v>95.140703969852154</c:v>
                </c:pt>
                <c:pt idx="491">
                  <c:v>95.116883379474331</c:v>
                </c:pt>
                <c:pt idx="492">
                  <c:v>95.092236557039627</c:v>
                </c:pt>
                <c:pt idx="493">
                  <c:v>95.066764087994727</c:v>
                </c:pt>
                <c:pt idx="494">
                  <c:v>95.040466561346108</c:v>
                </c:pt>
                <c:pt idx="495">
                  <c:v>95.013344569686851</c:v>
                </c:pt>
                <c:pt idx="496">
                  <c:v>94.985398709223219</c:v>
                </c:pt>
                <c:pt idx="497">
                  <c:v>94.956629579800719</c:v>
                </c:pt>
                <c:pt idx="498">
                  <c:v>94.927037784929809</c:v>
                </c:pt>
                <c:pt idx="499">
                  <c:v>94.896623931811192</c:v>
                </c:pt>
                <c:pt idx="500">
                  <c:v>94.865388631360702</c:v>
                </c:pt>
                <c:pt idx="501">
                  <c:v>94.833332498233773</c:v>
                </c:pt>
                <c:pt idx="502">
                  <c:v>94.800456150849527</c:v>
                </c:pt>
                <c:pt idx="503">
                  <c:v>94.766760211414379</c:v>
                </c:pt>
                <c:pt idx="504">
                  <c:v>94.732245305945256</c:v>
                </c:pt>
                <c:pt idx="505">
                  <c:v>94.696912064292363</c:v>
                </c:pt>
                <c:pt idx="506">
                  <c:v>94.660761120161581</c:v>
                </c:pt>
                <c:pt idx="507">
                  <c:v>94.623793111136351</c:v>
                </c:pt>
                <c:pt idx="508">
                  <c:v>94.586008678699145</c:v>
                </c:pt>
                <c:pt idx="509">
                  <c:v>94.547408468252499</c:v>
                </c:pt>
                <c:pt idx="510">
                  <c:v>94.507993129139649</c:v>
                </c:pt>
                <c:pt idx="511">
                  <c:v>94.467763314664666</c:v>
                </c:pt>
                <c:pt idx="512">
                  <c:v>94.426719682112093</c:v>
                </c:pt>
                <c:pt idx="513">
                  <c:v>94.384862892766265</c:v>
                </c:pt>
                <c:pt idx="514">
                  <c:v>94.342193611930071</c:v>
                </c:pt>
                <c:pt idx="515">
                  <c:v>94.298712508943296</c:v>
                </c:pt>
                <c:pt idx="516">
                  <c:v>94.254420257200522</c:v>
                </c:pt>
                <c:pt idx="517">
                  <c:v>94.20931753416852</c:v>
                </c:pt>
                <c:pt idx="518">
                  <c:v>94.163405021403221</c:v>
                </c:pt>
                <c:pt idx="519">
                  <c:v>94.116683404566231</c:v>
                </c:pt>
                <c:pt idx="520">
                  <c:v>94.069153373440841</c:v>
                </c:pt>
                <c:pt idx="521">
                  <c:v>94.020815621947634</c:v>
                </c:pt>
                <c:pt idx="522">
                  <c:v>93.971670848159576</c:v>
                </c:pt>
                <c:pt idx="523">
                  <c:v>93.921719754316669</c:v>
                </c:pt>
                <c:pt idx="524">
                  <c:v>93.870963046840089</c:v>
                </c:pt>
                <c:pt idx="525">
                  <c:v>93.819401436345984</c:v>
                </c:pt>
                <c:pt idx="526">
                  <c:v>93.767035637658623</c:v>
                </c:pt>
                <c:pt idx="527">
                  <c:v>93.713866369823236</c:v>
                </c:pt>
                <c:pt idx="528">
                  <c:v>93.659894356118272</c:v>
                </c:pt>
                <c:pt idx="529">
                  <c:v>93.6051203240673</c:v>
                </c:pt>
                <c:pt idx="530">
                  <c:v>93.549545005450327</c:v>
                </c:pt>
                <c:pt idx="531">
                  <c:v>93.493169136314762</c:v>
                </c:pt>
                <c:pt idx="532">
                  <c:v>93.435993456985827</c:v>
                </c:pt>
                <c:pt idx="533">
                  <c:v>93.378018712076553</c:v>
                </c:pt>
                <c:pt idx="534">
                  <c:v>93.319245650497265</c:v>
                </c:pt>
                <c:pt idx="535">
                  <c:v>93.259675025464674</c:v>
                </c:pt>
                <c:pt idx="536">
                  <c:v>93.199307594510429</c:v>
                </c:pt>
                <c:pt idx="537">
                  <c:v>93.138144119489269</c:v>
                </c:pt>
                <c:pt idx="538">
                  <c:v>93.076185366586685</c:v>
                </c:pt>
                <c:pt idx="539">
                  <c:v>93.013432106326121</c:v>
                </c:pt>
                <c:pt idx="540">
                  <c:v>92.94988511357576</c:v>
                </c:pt>
                <c:pt idx="541">
                  <c:v>92.885545167554753</c:v>
                </c:pt>
                <c:pt idx="542">
                  <c:v>92.820413051839139</c:v>
                </c:pt>
                <c:pt idx="543">
                  <c:v>92.754489554367183</c:v>
                </c:pt>
                <c:pt idx="544">
                  <c:v>92.687775467444354</c:v>
                </c:pt>
                <c:pt idx="545">
                  <c:v>92.620271587747808</c:v>
                </c:pt>
                <c:pt idx="546">
                  <c:v>92.551978716330439</c:v>
                </c:pt>
                <c:pt idx="547">
                  <c:v>92.482897658624466</c:v>
                </c:pt>
                <c:pt idx="548">
                  <c:v>92.413029224444642</c:v>
                </c:pt>
                <c:pt idx="549">
                  <c:v>92.342374227990945</c:v>
                </c:pt>
                <c:pt idx="550">
                  <c:v>92.270933487850897</c:v>
                </c:pt>
                <c:pt idx="551">
                  <c:v>92.198707827001371</c:v>
                </c:pt>
                <c:pt idx="552">
                  <c:v>92.12569807281011</c:v>
                </c:pt>
                <c:pt idx="553">
                  <c:v>92.051905057036649</c:v>
                </c:pt>
                <c:pt idx="554">
                  <c:v>91.977329615832929</c:v>
                </c:pt>
                <c:pt idx="555">
                  <c:v>91.901972589743451</c:v>
                </c:pt>
                <c:pt idx="556">
                  <c:v>91.825834823705009</c:v>
                </c:pt>
                <c:pt idx="557">
                  <c:v>91.748917167046017</c:v>
                </c:pt>
                <c:pt idx="558">
                  <c:v>91.67122047348542</c:v>
                </c:pt>
                <c:pt idx="559">
                  <c:v>91.592745601131156</c:v>
                </c:pt>
                <c:pt idx="560">
                  <c:v>91.51349341247834</c:v>
                </c:pt>
                <c:pt idx="561">
                  <c:v>91.433464774406872</c:v>
                </c:pt>
                <c:pt idx="562">
                  <c:v>91.352660558178755</c:v>
                </c:pt>
                <c:pt idx="563">
                  <c:v>91.271081639435025</c:v>
                </c:pt>
                <c:pt idx="564">
                  <c:v>91.188728898192252</c:v>
                </c:pt>
                <c:pt idx="565">
                  <c:v>91.10560321883861</c:v>
                </c:pt>
                <c:pt idx="566">
                  <c:v>91.021705490129676</c:v>
                </c:pt>
                <c:pt idx="567">
                  <c:v>90.937036605183764</c:v>
                </c:pt>
                <c:pt idx="568">
                  <c:v>90.851597461476871</c:v>
                </c:pt>
                <c:pt idx="569">
                  <c:v>90.765388960837328</c:v>
                </c:pt>
                <c:pt idx="570">
                  <c:v>90.678412009440009</c:v>
                </c:pt>
                <c:pt idx="571">
                  <c:v>90.590667517800227</c:v>
                </c:pt>
                <c:pt idx="572">
                  <c:v>90.502156400767205</c:v>
                </c:pt>
                <c:pt idx="573">
                  <c:v>90.412879577517245</c:v>
                </c:pt>
                <c:pt idx="574">
                  <c:v>90.322837971546548</c:v>
                </c:pt>
                <c:pt idx="575">
                  <c:v>90.232032510663615</c:v>
                </c:pt>
                <c:pt idx="576">
                  <c:v>90.140464126981385</c:v>
                </c:pt>
                <c:pt idx="577">
                  <c:v>90.048133756908982</c:v>
                </c:pt>
                <c:pt idx="578">
                  <c:v>89.955042341143169</c:v>
                </c:pt>
                <c:pt idx="579">
                  <c:v>89.86119082465936</c:v>
                </c:pt>
                <c:pt idx="580">
                  <c:v>89.76658015670246</c:v>
                </c:pt>
                <c:pt idx="581">
                  <c:v>89.671211290777237</c:v>
                </c:pt>
                <c:pt idx="582">
                  <c:v>89.57508518463851</c:v>
                </c:pt>
                <c:pt idx="583">
                  <c:v>89.478202800280854</c:v>
                </c:pt>
                <c:pt idx="584">
                  <c:v>89.380565103928163</c:v>
                </c:pt>
                <c:pt idx="585">
                  <c:v>89.28217306602275</c:v>
                </c:pt>
                <c:pt idx="586">
                  <c:v>89.183027661214282</c:v>
                </c:pt>
                <c:pt idx="587">
                  <c:v>89.083129868348308</c:v>
                </c:pt>
                <c:pt idx="588">
                  <c:v>88.982480670454564</c:v>
                </c:pt>
                <c:pt idx="589">
                  <c:v>88.881081054734906</c:v>
                </c:pt>
                <c:pt idx="590">
                  <c:v>88.778932012551024</c:v>
                </c:pt>
                <c:pt idx="591">
                  <c:v>88.676034539411873</c:v>
                </c:pt>
                <c:pt idx="592">
                  <c:v>88.572389634960771</c:v>
                </c:pt>
                <c:pt idx="593">
                  <c:v>88.467998302962243</c:v>
                </c:pt>
                <c:pt idx="594">
                  <c:v>88.362861551288631</c:v>
                </c:pt>
                <c:pt idx="595">
                  <c:v>88.256980391906382</c:v>
                </c:pt>
                <c:pt idx="596">
                  <c:v>88.150355840862133</c:v>
                </c:pt>
                <c:pt idx="597">
                  <c:v>88.042988918268449</c:v>
                </c:pt>
                <c:pt idx="598">
                  <c:v>87.934880648289379</c:v>
                </c:pt>
                <c:pt idx="599">
                  <c:v>87.826032059125751</c:v>
                </c:pt>
                <c:pt idx="600">
                  <c:v>87.716444183000206</c:v>
                </c:pt>
                <c:pt idx="601">
                  <c:v>87.606118056141952</c:v>
                </c:pt>
                <c:pt idx="602">
                  <c:v>87.495054718771399</c:v>
                </c:pt>
                <c:pt idx="603">
                  <c:v>87.383255215084375</c:v>
                </c:pt>
                <c:pt idx="604">
                  <c:v>87.270720593236291</c:v>
                </c:pt>
                <c:pt idx="605">
                  <c:v>87.157451905325985</c:v>
                </c:pt>
                <c:pt idx="606">
                  <c:v>87.043450207379337</c:v>
                </c:pt>
                <c:pt idx="607">
                  <c:v>86.928716559332713</c:v>
                </c:pt>
                <c:pt idx="608">
                  <c:v>86.813252025016126</c:v>
                </c:pt>
                <c:pt idx="609">
                  <c:v>86.697057672136268</c:v>
                </c:pt>
                <c:pt idx="610">
                  <c:v>86.580134572259269</c:v>
                </c:pt>
                <c:pt idx="611">
                  <c:v>86.462483800793322</c:v>
                </c:pt>
                <c:pt idx="612">
                  <c:v>86.344106436970989</c:v>
                </c:pt>
                <c:pt idx="613">
                  <c:v>86.22500356383145</c:v>
                </c:pt>
                <c:pt idx="614">
                  <c:v>86.105176268202428</c:v>
                </c:pt>
                <c:pt idx="615">
                  <c:v>85.98462564068204</c:v>
                </c:pt>
                <c:pt idx="616">
                  <c:v>85.863352775620413</c:v>
                </c:pt>
                <c:pt idx="617">
                  <c:v>85.74135877110109</c:v>
                </c:pt>
                <c:pt idx="618">
                  <c:v>85.618644728922305</c:v>
                </c:pt>
                <c:pt idx="619">
                  <c:v>85.495211754578051</c:v>
                </c:pt>
                <c:pt idx="620">
                  <c:v>85.37106095723901</c:v>
                </c:pt>
                <c:pt idx="621">
                  <c:v>85.246193449733298</c:v>
                </c:pt>
                <c:pt idx="622">
                  <c:v>85.120610348527009</c:v>
                </c:pt>
                <c:pt idx="623">
                  <c:v>84.994312773704692</c:v>
                </c:pt>
                <c:pt idx="624">
                  <c:v>84.867301848949566</c:v>
                </c:pt>
                <c:pt idx="625">
                  <c:v>84.739578701523655</c:v>
                </c:pt>
                <c:pt idx="626">
                  <c:v>84.611144462247765</c:v>
                </c:pt>
                <c:pt idx="627">
                  <c:v>84.482000265481247</c:v>
                </c:pt>
                <c:pt idx="628">
                  <c:v>84.352147249101691</c:v>
                </c:pt>
                <c:pt idx="629">
                  <c:v>84.221586554484489</c:v>
                </c:pt>
                <c:pt idx="630">
                  <c:v>84.090319326482188</c:v>
                </c:pt>
                <c:pt idx="631">
                  <c:v>83.958346713403785</c:v>
                </c:pt>
                <c:pt idx="632">
                  <c:v>83.825669866993792</c:v>
                </c:pt>
                <c:pt idx="633">
                  <c:v>83.692289942411321</c:v>
                </c:pt>
                <c:pt idx="634">
                  <c:v>83.558208098208908</c:v>
                </c:pt>
                <c:pt idx="635">
                  <c:v>83.42342549631131</c:v>
                </c:pt>
                <c:pt idx="636">
                  <c:v>83.28794330199409</c:v>
                </c:pt>
                <c:pt idx="637">
                  <c:v>83.151762683862202</c:v>
                </c:pt>
                <c:pt idx="638">
                  <c:v>83.01488481382836</c:v>
                </c:pt>
                <c:pt idx="639">
                  <c:v>82.877310867091353</c:v>
                </c:pt>
                <c:pt idx="640">
                  <c:v>82.739042022114262</c:v>
                </c:pt>
                <c:pt idx="641">
                  <c:v>82.600079460602544</c:v>
                </c:pt>
                <c:pt idx="642">
                  <c:v>82.460424367482005</c:v>
                </c:pt>
                <c:pt idx="643">
                  <c:v>82.320077930876749</c:v>
                </c:pt>
                <c:pt idx="644">
                  <c:v>82.179041342086904</c:v>
                </c:pt>
                <c:pt idx="645">
                  <c:v>82.037315795566414</c:v>
                </c:pt>
                <c:pt idx="646">
                  <c:v>81.894902488900613</c:v>
                </c:pt>
                <c:pt idx="647">
                  <c:v>81.751802622783771</c:v>
                </c:pt>
                <c:pt idx="648">
                  <c:v>81.608017400996516</c:v>
                </c:pt>
                <c:pt idx="649">
                  <c:v>81.463548030383279</c:v>
                </c:pt>
                <c:pt idx="650">
                  <c:v>81.3183957208295</c:v>
                </c:pt>
                <c:pt idx="651">
                  <c:v>81.172561685238904</c:v>
                </c:pt>
                <c:pt idx="652">
                  <c:v>81.026047139510609</c:v>
                </c:pt>
                <c:pt idx="653">
                  <c:v>80.878853302516205</c:v>
                </c:pt>
                <c:pt idx="654">
                  <c:v>80.730981396076757</c:v>
                </c:pt>
                <c:pt idx="655">
                  <c:v>80.582432644939757</c:v>
                </c:pt>
                <c:pt idx="656">
                  <c:v>80.433208276755963</c:v>
                </c:pt>
                <c:pt idx="657">
                  <c:v>80.283309522056229</c:v>
                </c:pt>
                <c:pt idx="658">
                  <c:v>80.13273761422829</c:v>
                </c:pt>
                <c:pt idx="659">
                  <c:v>79.981493789493371</c:v>
                </c:pt>
                <c:pt idx="660">
                  <c:v>79.829579286882932</c:v>
                </c:pt>
                <c:pt idx="661">
                  <c:v>79.676995348215158</c:v>
                </c:pt>
                <c:pt idx="662">
                  <c:v>79.523743218071559</c:v>
                </c:pt>
                <c:pt idx="663">
                  <c:v>79.369824143773457</c:v>
                </c:pt>
                <c:pt idx="664">
                  <c:v>79.215239375358422</c:v>
                </c:pt>
                <c:pt idx="665">
                  <c:v>79.059990165556655</c:v>
                </c:pt>
                <c:pt idx="666">
                  <c:v>78.904077769767383</c:v>
                </c:pt>
                <c:pt idx="667">
                  <c:v>78.74750344603514</c:v>
                </c:pt>
                <c:pt idx="668">
                  <c:v>78.590268455026077</c:v>
                </c:pt>
                <c:pt idx="669">
                  <c:v>78.432374060004221</c:v>
                </c:pt>
                <c:pt idx="670">
                  <c:v>78.273821526807666</c:v>
                </c:pt>
                <c:pt idx="671">
                  <c:v>78.11461212382477</c:v>
                </c:pt>
                <c:pt idx="672">
                  <c:v>77.954747121970286</c:v>
                </c:pt>
                <c:pt idx="673">
                  <c:v>77.794227794661552</c:v>
                </c:pt>
                <c:pt idx="674">
                  <c:v>77.633055417794509</c:v>
                </c:pt>
                <c:pt idx="675">
                  <c:v>77.471231269719837</c:v>
                </c:pt>
                <c:pt idx="676">
                  <c:v>77.308756631218998</c:v>
                </c:pt>
                <c:pt idx="677">
                  <c:v>77.145632785480245</c:v>
                </c:pt>
                <c:pt idx="678">
                  <c:v>76.981861018074696</c:v>
                </c:pt>
                <c:pt idx="679">
                  <c:v>76.817442616932283</c:v>
                </c:pt>
                <c:pt idx="680">
                  <c:v>76.65237887231774</c:v>
                </c:pt>
                <c:pt idx="681">
                  <c:v>76.486671076806644</c:v>
                </c:pt>
                <c:pt idx="682">
                  <c:v>76.320320525261266</c:v>
                </c:pt>
                <c:pt idx="683">
                  <c:v>76.153328514806631</c:v>
                </c:pt>
                <c:pt idx="684">
                  <c:v>75.985696344806399</c:v>
                </c:pt>
                <c:pt idx="685">
                  <c:v>75.817425316838808</c:v>
                </c:pt>
                <c:pt idx="686">
                  <c:v>75.648516734672626</c:v>
                </c:pt>
                <c:pt idx="687">
                  <c:v>75.478971904243053</c:v>
                </c:pt>
                <c:pt idx="688">
                  <c:v>75.308792133627676</c:v>
                </c:pt>
                <c:pt idx="689">
                  <c:v>75.137978733022379</c:v>
                </c:pt>
                <c:pt idx="690">
                  <c:v>74.966533014717285</c:v>
                </c:pt>
                <c:pt idx="691">
                  <c:v>74.794456293072685</c:v>
                </c:pt>
                <c:pt idx="692">
                  <c:v>74.621749884494932</c:v>
                </c:pt>
                <c:pt idx="693">
                  <c:v>74.448415107412444</c:v>
                </c:pt>
                <c:pt idx="694">
                  <c:v>74.274453282251599</c:v>
                </c:pt>
                <c:pt idx="695">
                  <c:v>74.09986573141272</c:v>
                </c:pt>
                <c:pt idx="696">
                  <c:v>73.924653779246029</c:v>
                </c:pt>
                <c:pt idx="697">
                  <c:v>73.748818752027617</c:v>
                </c:pt>
                <c:pt idx="698">
                  <c:v>73.572361977935458</c:v>
                </c:pt>
                <c:pt idx="699">
                  <c:v>73.395284787025346</c:v>
                </c:pt>
                <c:pt idx="700">
                  <c:v>73.217588511206998</c:v>
                </c:pt>
                <c:pt idx="701">
                  <c:v>73.039274484220016</c:v>
                </c:pt>
                <c:pt idx="702">
                  <c:v>72.860344041609977</c:v>
                </c:pt>
                <c:pt idx="703">
                  <c:v>72.680798520704471</c:v>
                </c:pt>
                <c:pt idx="704">
                  <c:v>72.500639260589224</c:v>
                </c:pt>
                <c:pt idx="705">
                  <c:v>72.319867602084173</c:v>
                </c:pt>
                <c:pt idx="706">
                  <c:v>72.138484887719599</c:v>
                </c:pt>
                <c:pt idx="707">
                  <c:v>71.956492461712315</c:v>
                </c:pt>
                <c:pt idx="708">
                  <c:v>71.773891669941818</c:v>
                </c:pt>
                <c:pt idx="709">
                  <c:v>71.590683859926472</c:v>
                </c:pt>
                <c:pt idx="710">
                  <c:v>71.406870380799788</c:v>
                </c:pt>
                <c:pt idx="711">
                  <c:v>71.222452583286653</c:v>
                </c:pt>
                <c:pt idx="712">
                  <c:v>71.037431819679597</c:v>
                </c:pt>
                <c:pt idx="713">
                  <c:v>70.851809443815156</c:v>
                </c:pt>
                <c:pt idx="714">
                  <c:v>70.66558681105019</c:v>
                </c:pt>
                <c:pt idx="715">
                  <c:v>70.478765278238257</c:v>
                </c:pt>
                <c:pt idx="716">
                  <c:v>70.291346203706041</c:v>
                </c:pt>
                <c:pt idx="717">
                  <c:v>70.103330947229807</c:v>
                </c:pt>
                <c:pt idx="718">
                  <c:v>69.914720870011834</c:v>
                </c:pt>
                <c:pt idx="719">
                  <c:v>69.725517334656999</c:v>
                </c:pt>
                <c:pt idx="720">
                  <c:v>69.535721705149271</c:v>
                </c:pt>
                <c:pt idx="721">
                  <c:v>69.345335346828335</c:v>
                </c:pt>
                <c:pt idx="722">
                  <c:v>69.154359626366201</c:v>
                </c:pt>
                <c:pt idx="723">
                  <c:v>68.962795911743882</c:v>
                </c:pt>
                <c:pt idx="724">
                  <c:v>68.770645572228105</c:v>
                </c:pt>
                <c:pt idx="725">
                  <c:v>68.57790997834806</c:v>
                </c:pt>
                <c:pt idx="726">
                  <c:v>68.384590501872182</c:v>
                </c:pt>
                <c:pt idx="727">
                  <c:v>68.190688515785013</c:v>
                </c:pt>
                <c:pt idx="728">
                  <c:v>67.99620539426401</c:v>
                </c:pt>
                <c:pt idx="729">
                  <c:v>67.801142512656568</c:v>
                </c:pt>
                <c:pt idx="730">
                  <c:v>67.6055012474569</c:v>
                </c:pt>
                <c:pt idx="731">
                  <c:v>67.409282976283095</c:v>
                </c:pt>
                <c:pt idx="732">
                  <c:v>67.212489077854173</c:v>
                </c:pt>
                <c:pt idx="733">
                  <c:v>67.015120931967175</c:v>
                </c:pt>
                <c:pt idx="734">
                  <c:v>66.817179919474356</c:v>
                </c:pt>
                <c:pt idx="735">
                  <c:v>66.618667422260344</c:v>
                </c:pt>
                <c:pt idx="736">
                  <c:v>66.419584823219409</c:v>
                </c:pt>
                <c:pt idx="737">
                  <c:v>66.219933506232778</c:v>
                </c:pt>
                <c:pt idx="738">
                  <c:v>66.019714856145995</c:v>
                </c:pt>
                <c:pt idx="739">
                  <c:v>65.81893025874632</c:v>
                </c:pt>
                <c:pt idx="740">
                  <c:v>65.617581100740196</c:v>
                </c:pt>
                <c:pt idx="741">
                  <c:v>65.415668769730743</c:v>
                </c:pt>
                <c:pt idx="742">
                  <c:v>65.213194654195334</c:v>
                </c:pt>
                <c:pt idx="743">
                  <c:v>65.010160143463253</c:v>
                </c:pt>
                <c:pt idx="744">
                  <c:v>64.806566627693286</c:v>
                </c:pt>
                <c:pt idx="745">
                  <c:v>64.602415497851567</c:v>
                </c:pt>
                <c:pt idx="746">
                  <c:v>64.397708145689265</c:v>
                </c:pt>
                <c:pt idx="747">
                  <c:v>64.192445963720473</c:v>
                </c:pt>
                <c:pt idx="748">
                  <c:v>63.986630345200126</c:v>
                </c:pt>
                <c:pt idx="749">
                  <c:v>63.780262684101928</c:v>
                </c:pt>
                <c:pt idx="750">
                  <c:v>63.57334437509639</c:v>
                </c:pt>
                <c:pt idx="751">
                  <c:v>63.365876813528921</c:v>
                </c:pt>
                <c:pt idx="752">
                  <c:v>63.157861395397923</c:v>
                </c:pt>
                <c:pt idx="753">
                  <c:v>62.949299517333039</c:v>
                </c:pt>
                <c:pt idx="754">
                  <c:v>62.740192576573378</c:v>
                </c:pt>
                <c:pt idx="755">
                  <c:v>62.530541970945855</c:v>
                </c:pt>
                <c:pt idx="756">
                  <c:v>62.320349098843565</c:v>
                </c:pt>
                <c:pt idx="757">
                  <c:v>62.109615359204227</c:v>
                </c:pt>
                <c:pt idx="758">
                  <c:v>61.898342151488698</c:v>
                </c:pt>
                <c:pt idx="759">
                  <c:v>61.686530875659528</c:v>
                </c:pt>
                <c:pt idx="760">
                  <c:v>61.474182932159607</c:v>
                </c:pt>
                <c:pt idx="761">
                  <c:v>61.261299721890879</c:v>
                </c:pt>
                <c:pt idx="762">
                  <c:v>61.047882646193059</c:v>
                </c:pt>
                <c:pt idx="763">
                  <c:v>60.833933106822521</c:v>
                </c:pt>
                <c:pt idx="764">
                  <c:v>60.619452505931129</c:v>
                </c:pt>
                <c:pt idx="765">
                  <c:v>60.404442246045249</c:v>
                </c:pt>
                <c:pt idx="766">
                  <c:v>60.18890373004475</c:v>
                </c:pt>
                <c:pt idx="767">
                  <c:v>59.972838361142109</c:v>
                </c:pt>
                <c:pt idx="768">
                  <c:v>59.756247542861544</c:v>
                </c:pt>
                <c:pt idx="769">
                  <c:v>59.539132679018287</c:v>
                </c:pt>
                <c:pt idx="770">
                  <c:v>59.321495173697834</c:v>
                </c:pt>
                <c:pt idx="771">
                  <c:v>59.103336431235341</c:v>
                </c:pt>
                <c:pt idx="772">
                  <c:v>58.884657856195055</c:v>
                </c:pt>
                <c:pt idx="773">
                  <c:v>58.665460853349792</c:v>
                </c:pt>
                <c:pt idx="774">
                  <c:v>58.445746827660528</c:v>
                </c:pt>
                <c:pt idx="775">
                  <c:v>58.225517184256049</c:v>
                </c:pt>
                <c:pt idx="776">
                  <c:v>58.004773328412647</c:v>
                </c:pt>
                <c:pt idx="777">
                  <c:v>57.783516665533902</c:v>
                </c:pt>
                <c:pt idx="778">
                  <c:v>57.561748601130546</c:v>
                </c:pt>
                <c:pt idx="779">
                  <c:v>57.339470540800377</c:v>
                </c:pt>
                <c:pt idx="780">
                  <c:v>57.116683890208265</c:v>
                </c:pt>
                <c:pt idx="781">
                  <c:v>56.89339005506622</c:v>
                </c:pt>
                <c:pt idx="782">
                  <c:v>56.66959044111352</c:v>
                </c:pt>
                <c:pt idx="783">
                  <c:v>56.445286454096937</c:v>
                </c:pt>
                <c:pt idx="784">
                  <c:v>56.220479499751029</c:v>
                </c:pt>
                <c:pt idx="785">
                  <c:v>55.995170983778465</c:v>
                </c:pt>
                <c:pt idx="786">
                  <c:v>55.769362311830498</c:v>
                </c:pt>
                <c:pt idx="787">
                  <c:v>55.543054889487451</c:v>
                </c:pt>
                <c:pt idx="788">
                  <c:v>55.316250122239282</c:v>
                </c:pt>
                <c:pt idx="789">
                  <c:v>55.088949415466281</c:v>
                </c:pt>
                <c:pt idx="790">
                  <c:v>54.861154174419752</c:v>
                </c:pt>
                <c:pt idx="791">
                  <c:v>54.632865804202851</c:v>
                </c:pt>
                <c:pt idx="792">
                  <c:v>54.404085709751435</c:v>
                </c:pt>
                <c:pt idx="793">
                  <c:v>54.17481529581503</c:v>
                </c:pt>
                <c:pt idx="794">
                  <c:v>53.945055966937872</c:v>
                </c:pt>
                <c:pt idx="795">
                  <c:v>53.714809127439992</c:v>
                </c:pt>
                <c:pt idx="796">
                  <c:v>53.484076181398393</c:v>
                </c:pt>
                <c:pt idx="797">
                  <c:v>53.252858532628323</c:v>
                </c:pt>
                <c:pt idx="798">
                  <c:v>53.0211575846646</c:v>
                </c:pt>
                <c:pt idx="799">
                  <c:v>52.788974740743015</c:v>
                </c:pt>
                <c:pt idx="800">
                  <c:v>52.556311403781834</c:v>
                </c:pt>
                <c:pt idx="801">
                  <c:v>52.323168976363348</c:v>
                </c:pt>
                <c:pt idx="802">
                  <c:v>52.089548860715517</c:v>
                </c:pt>
                <c:pt idx="803">
                  <c:v>51.855452458693684</c:v>
                </c:pt>
                <c:pt idx="804">
                  <c:v>51.620881171762363</c:v>
                </c:pt>
                <c:pt idx="805">
                  <c:v>51.385836400977126</c:v>
                </c:pt>
                <c:pt idx="806">
                  <c:v>51.150319546966564</c:v>
                </c:pt>
                <c:pt idx="807">
                  <c:v>50.914332009914268</c:v>
                </c:pt>
                <c:pt idx="808">
                  <c:v>50.677875189540998</c:v>
                </c:pt>
                <c:pt idx="809">
                  <c:v>50.440950485086816</c:v>
                </c:pt>
                <c:pt idx="810">
                  <c:v>50.203559295293374</c:v>
                </c:pt>
                <c:pt idx="811">
                  <c:v>49.96570301838625</c:v>
                </c:pt>
                <c:pt idx="812">
                  <c:v>49.727383052057384</c:v>
                </c:pt>
                <c:pt idx="813">
                  <c:v>49.488600793447539</c:v>
                </c:pt>
                <c:pt idx="814">
                  <c:v>49.249357639128931</c:v>
                </c:pt>
                <c:pt idx="815">
                  <c:v>49.009654985087849</c:v>
                </c:pt>
                <c:pt idx="816">
                  <c:v>48.769494226707401</c:v>
                </c:pt>
                <c:pt idx="817">
                  <c:v>48.52887675875035</c:v>
                </c:pt>
                <c:pt idx="818">
                  <c:v>48.287803975341987</c:v>
                </c:pt>
                <c:pt idx="819">
                  <c:v>48.046277269953109</c:v>
                </c:pt>
                <c:pt idx="820">
                  <c:v>47.804298035383084</c:v>
                </c:pt>
                <c:pt idx="821">
                  <c:v>47.561867663743001</c:v>
                </c:pt>
                <c:pt idx="822">
                  <c:v>47.318987546438855</c:v>
                </c:pt>
                <c:pt idx="823">
                  <c:v>47.075659074154856</c:v>
                </c:pt>
                <c:pt idx="824">
                  <c:v>46.831883636836821</c:v>
                </c:pt>
                <c:pt idx="825">
                  <c:v>46.587662623675605</c:v>
                </c:pt>
                <c:pt idx="826">
                  <c:v>46.342997423090658</c:v>
                </c:pt>
                <c:pt idx="827">
                  <c:v>46.097889422713635</c:v>
                </c:pt>
                <c:pt idx="828">
                  <c:v>45.852340009372085</c:v>
                </c:pt>
                <c:pt idx="829">
                  <c:v>45.606350569073257</c:v>
                </c:pt>
                <c:pt idx="830">
                  <c:v>45.359922486987919</c:v>
                </c:pt>
                <c:pt idx="831">
                  <c:v>45.113057147434347</c:v>
                </c:pt>
                <c:pt idx="832">
                  <c:v>44.865755933862303</c:v>
                </c:pt>
                <c:pt idx="833">
                  <c:v>44.618020228837153</c:v>
                </c:pt>
                <c:pt idx="834">
                  <c:v>44.369851414024062</c:v>
                </c:pt>
                <c:pt idx="835">
                  <c:v>44.121250870172247</c:v>
                </c:pt>
                <c:pt idx="836">
                  <c:v>43.872219977099327</c:v>
                </c:pt>
                <c:pt idx="837">
                  <c:v>43.622760113675731</c:v>
                </c:pt>
                <c:pt idx="838">
                  <c:v>43.372872657809225</c:v>
                </c:pt>
                <c:pt idx="839">
                  <c:v>43.12255898642951</c:v>
                </c:pt>
                <c:pt idx="840">
                  <c:v>42.871820475472866</c:v>
                </c:pt>
                <c:pt idx="841">
                  <c:v>42.620658499866906</c:v>
                </c:pt>
                <c:pt idx="842">
                  <c:v>42.369074433515443</c:v>
                </c:pt>
                <c:pt idx="843">
                  <c:v>42.117069649283351</c:v>
                </c:pt>
                <c:pt idx="844">
                  <c:v>41.864645518981611</c:v>
                </c:pt>
                <c:pt idx="845">
                  <c:v>41.611803413352348</c:v>
                </c:pt>
                <c:pt idx="846">
                  <c:v>41.358544702054019</c:v>
                </c:pt>
                <c:pt idx="847">
                  <c:v>41.10487075364663</c:v>
                </c:pt>
                <c:pt idx="848">
                  <c:v>40.850782935577072</c:v>
                </c:pt>
                <c:pt idx="849">
                  <c:v>40.596282614164508</c:v>
                </c:pt>
                <c:pt idx="850">
                  <c:v>40.341371154585879</c:v>
                </c:pt>
                <c:pt idx="851">
                  <c:v>40.086049920861441</c:v>
                </c:pt>
                <c:pt idx="852">
                  <c:v>39.830320275840442</c:v>
                </c:pt>
                <c:pt idx="853">
                  <c:v>39.57418358118683</c:v>
                </c:pt>
                <c:pt idx="854">
                  <c:v>39.317641197365056</c:v>
                </c:pt>
                <c:pt idx="855">
                  <c:v>39.060694483626001</c:v>
                </c:pt>
                <c:pt idx="856">
                  <c:v>38.803344797992899</c:v>
                </c:pt>
                <c:pt idx="857">
                  <c:v>38.545593497247424</c:v>
                </c:pt>
                <c:pt idx="858">
                  <c:v>38.287441936915819</c:v>
                </c:pt>
                <c:pt idx="859">
                  <c:v>38.028891471255108</c:v>
                </c:pt>
                <c:pt idx="860">
                  <c:v>37.769943453239392</c:v>
                </c:pt>
                <c:pt idx="861">
                  <c:v>37.510599234546241</c:v>
                </c:pt>
                <c:pt idx="862">
                  <c:v>37.250860165543131</c:v>
                </c:pt>
                <c:pt idx="863">
                  <c:v>36.990727595274016</c:v>
                </c:pt>
                <c:pt idx="864">
                  <c:v>36.730202871445911</c:v>
                </c:pt>
                <c:pt idx="865">
                  <c:v>36.469287340415633</c:v>
                </c:pt>
                <c:pt idx="866">
                  <c:v>36.207982347176575</c:v>
                </c:pt>
                <c:pt idx="867">
                  <c:v>35.94628923534556</c:v>
                </c:pt>
                <c:pt idx="868">
                  <c:v>35.684209347149796</c:v>
                </c:pt>
                <c:pt idx="869">
                  <c:v>35.421744023413908</c:v>
                </c:pt>
                <c:pt idx="870">
                  <c:v>35.158894603547047</c:v>
                </c:pt>
                <c:pt idx="871">
                  <c:v>34.89566242553007</c:v>
                </c:pt>
                <c:pt idx="872">
                  <c:v>34.632048825902807</c:v>
                </c:pt>
                <c:pt idx="873">
                  <c:v>34.368055139751448</c:v>
                </c:pt>
                <c:pt idx="874">
                  <c:v>34.10368270069592</c:v>
                </c:pt>
                <c:pt idx="875">
                  <c:v>33.838932840877455</c:v>
                </c:pt>
                <c:pt idx="876">
                  <c:v>33.573806890946138</c:v>
                </c:pt>
                <c:pt idx="877">
                  <c:v>33.308306180048604</c:v>
                </c:pt>
                <c:pt idx="878">
                  <c:v>33.0424320358158</c:v>
                </c:pt>
                <c:pt idx="879">
                  <c:v>32.776185784350787</c:v>
                </c:pt>
                <c:pt idx="880">
                  <c:v>32.509568750216687</c:v>
                </c:pt>
                <c:pt idx="881">
                  <c:v>32.242582256424669</c:v>
                </c:pt>
                <c:pt idx="882">
                  <c:v>31.975227624422018</c:v>
                </c:pt>
                <c:pt idx="883">
                  <c:v>31.707506174080294</c:v>
                </c:pt>
                <c:pt idx="884">
                  <c:v>31.439419223683561</c:v>
                </c:pt>
                <c:pt idx="885">
                  <c:v>31.170968089916716</c:v>
                </c:pt>
                <c:pt idx="886">
                  <c:v>30.902154087853869</c:v>
                </c:pt>
                <c:pt idx="887">
                  <c:v>30.632978530946829</c:v>
                </c:pt>
                <c:pt idx="888">
                  <c:v>30.363442731013645</c:v>
                </c:pt>
                <c:pt idx="889">
                  <c:v>30.093547998227255</c:v>
                </c:pt>
                <c:pt idx="890">
                  <c:v>29.823295641104192</c:v>
                </c:pt>
                <c:pt idx="891">
                  <c:v>29.552686966493372</c:v>
                </c:pt>
                <c:pt idx="892">
                  <c:v>29.281723279564972</c:v>
                </c:pt>
                <c:pt idx="893">
                  <c:v>29.010405883799379</c:v>
                </c:pt>
                <c:pt idx="894">
                  <c:v>28.73873608097621</c:v>
                </c:pt>
                <c:pt idx="895">
                  <c:v>28.466715171163443</c:v>
                </c:pt>
                <c:pt idx="896">
                  <c:v>28.194344452706577</c:v>
                </c:pt>
                <c:pt idx="897">
                  <c:v>27.921625222217923</c:v>
                </c:pt>
                <c:pt idx="898">
                  <c:v>27.648558774565927</c:v>
                </c:pt>
                <c:pt idx="899">
                  <c:v>27.375146402864608</c:v>
                </c:pt>
                <c:pt idx="900">
                  <c:v>27.101389398463052</c:v>
                </c:pt>
                <c:pt idx="901">
                  <c:v>26.827289050934993</c:v>
                </c:pt>
                <c:pt idx="902">
                  <c:v>26.552846648068478</c:v>
                </c:pt>
                <c:pt idx="903">
                  <c:v>26.278063475855589</c:v>
                </c:pt>
                <c:pt idx="904">
                  <c:v>26.002940818482262</c:v>
                </c:pt>
                <c:pt idx="905">
                  <c:v>25.727479958318185</c:v>
                </c:pt>
                <c:pt idx="906">
                  <c:v>25.451682175906754</c:v>
                </c:pt>
                <c:pt idx="907">
                  <c:v>25.175548749955134</c:v>
                </c:pt>
                <c:pt idx="908">
                  <c:v>24.899080957324369</c:v>
                </c:pt>
                <c:pt idx="909">
                  <c:v>24.622280073019589</c:v>
                </c:pt>
                <c:pt idx="910">
                  <c:v>24.345147370180285</c:v>
                </c:pt>
                <c:pt idx="911">
                  <c:v>24.067684120070673</c:v>
                </c:pt>
                <c:pt idx="912">
                  <c:v>23.789891592070109</c:v>
                </c:pt>
                <c:pt idx="913">
                  <c:v>23.511771053663615</c:v>
                </c:pt>
                <c:pt idx="914">
                  <c:v>23.233323770432449</c:v>
                </c:pt>
                <c:pt idx="915">
                  <c:v>22.954551006044767</c:v>
                </c:pt>
                <c:pt idx="916">
                  <c:v>22.675454022246377</c:v>
                </c:pt>
                <c:pt idx="917">
                  <c:v>22.396034078851528</c:v>
                </c:pt>
                <c:pt idx="918">
                  <c:v>22.116292433733822</c:v>
                </c:pt>
                <c:pt idx="919">
                  <c:v>21.83623034281716</c:v>
                </c:pt>
                <c:pt idx="920">
                  <c:v>21.555849060066794</c:v>
                </c:pt>
                <c:pt idx="921">
                  <c:v>21.275149837480445</c:v>
                </c:pt>
                <c:pt idx="922">
                  <c:v>20.994133925079474</c:v>
                </c:pt>
                <c:pt idx="923">
                  <c:v>20.71280257090018</c:v>
                </c:pt>
                <c:pt idx="924">
                  <c:v>20.431157020985118</c:v>
                </c:pt>
                <c:pt idx="925">
                  <c:v>20.149198519374522</c:v>
                </c:pt>
                <c:pt idx="926">
                  <c:v>19.866928308097794</c:v>
                </c:pt>
                <c:pt idx="927">
                  <c:v>19.58434762716508</c:v>
                </c:pt>
                <c:pt idx="928">
                  <c:v>19.301457714558893</c:v>
                </c:pt>
                <c:pt idx="929">
                  <c:v>19.018259806225839</c:v>
                </c:pt>
                <c:pt idx="930">
                  <c:v>18.734755136068408</c:v>
                </c:pt>
                <c:pt idx="931">
                  <c:v>18.450944935936821</c:v>
                </c:pt>
                <c:pt idx="932">
                  <c:v>18.166830435620984</c:v>
                </c:pt>
                <c:pt idx="933">
                  <c:v>17.882412862842475</c:v>
                </c:pt>
                <c:pt idx="934">
                  <c:v>17.597693443246655</c:v>
                </c:pt>
                <c:pt idx="935">
                  <c:v>17.312673400394793</c:v>
                </c:pt>
                <c:pt idx="936">
                  <c:v>17.027353955756325</c:v>
                </c:pt>
                <c:pt idx="937">
                  <c:v>16.741736328701133</c:v>
                </c:pt>
                <c:pt idx="938">
                  <c:v>16.455821736491924</c:v>
                </c:pt>
                <c:pt idx="939">
                  <c:v>16.169611394276689</c:v>
                </c:pt>
                <c:pt idx="940">
                  <c:v>15.883106515081201</c:v>
                </c:pt>
                <c:pt idx="941">
                  <c:v>15.596308309801625</c:v>
                </c:pt>
                <c:pt idx="942">
                  <c:v>15.309217987197174</c:v>
                </c:pt>
                <c:pt idx="943">
                  <c:v>15.021836753882843</c:v>
                </c:pt>
                <c:pt idx="944">
                  <c:v>14.734165814322214</c:v>
                </c:pt>
                <c:pt idx="945">
                  <c:v>14.44620637082034</c:v>
                </c:pt>
                <c:pt idx="946">
                  <c:v>14.157959623516687</c:v>
                </c:pt>
                <c:pt idx="947">
                  <c:v>13.86942677037816</c:v>
                </c:pt>
                <c:pt idx="948">
                  <c:v>13.580609007192187</c:v>
                </c:pt>
                <c:pt idx="949">
                  <c:v>13.291507527559888</c:v>
                </c:pt>
                <c:pt idx="950">
                  <c:v>13.002123522889301</c:v>
                </c:pt>
                <c:pt idx="951">
                  <c:v>12.712458182388685</c:v>
                </c:pt>
                <c:pt idx="952">
                  <c:v>12.4225126930599</c:v>
                </c:pt>
                <c:pt idx="953">
                  <c:v>12.132288239691841</c:v>
                </c:pt>
                <c:pt idx="954">
                  <c:v>11.841786004853946</c:v>
                </c:pt>
                <c:pt idx="955">
                  <c:v>11.551007168889791</c:v>
                </c:pt>
                <c:pt idx="956">
                  <c:v>11.25995290991073</c:v>
                </c:pt>
                <c:pt idx="957">
                  <c:v>10.968624403789617</c:v>
                </c:pt>
                <c:pt idx="958">
                  <c:v>10.677022824154596</c:v>
                </c:pt>
                <c:pt idx="959">
                  <c:v>10.385149342382956</c:v>
                </c:pt>
                <c:pt idx="960">
                  <c:v>10.09300512759506</c:v>
                </c:pt>
                <c:pt idx="961">
                  <c:v>9.8005913466483356</c:v>
                </c:pt>
                <c:pt idx="962">
                  <c:v>9.5079091641313411</c:v>
                </c:pt>
                <c:pt idx="963">
                  <c:v>9.2149597423578928</c:v>
                </c:pt>
                <c:pt idx="964">
                  <c:v>8.9217442413612638</c:v>
                </c:pt>
                <c:pt idx="965">
                  <c:v>8.6282638188884437</c:v>
                </c:pt>
                <c:pt idx="966">
                  <c:v>8.3345196303944835</c:v>
                </c:pt>
                <c:pt idx="967">
                  <c:v>8.0405128290368815</c:v>
                </c:pt>
                <c:pt idx="968">
                  <c:v>7.7462445656700583</c:v>
                </c:pt>
                <c:pt idx="969">
                  <c:v>7.4517159888398874</c:v>
                </c:pt>
                <c:pt idx="970">
                  <c:v>7.156928244778296</c:v>
                </c:pt>
                <c:pt idx="971">
                  <c:v>6.8618824773979279</c:v>
                </c:pt>
                <c:pt idx="972">
                  <c:v>6.5665798282868755</c:v>
                </c:pt>
                <c:pt idx="973">
                  <c:v>6.2710214367034816</c:v>
                </c:pt>
                <c:pt idx="974">
                  <c:v>5.9752084395711957</c:v>
                </c:pt>
                <c:pt idx="975">
                  <c:v>5.6791419714735101</c:v>
                </c:pt>
                <c:pt idx="976">
                  <c:v>5.3828231646489462</c:v>
                </c:pt>
                <c:pt idx="977">
                  <c:v>5.0862531489861187</c:v>
                </c:pt>
                <c:pt idx="978">
                  <c:v>4.7894330520188575</c:v>
                </c:pt>
                <c:pt idx="979">
                  <c:v>4.4923639989213937</c:v>
                </c:pt>
                <c:pt idx="980">
                  <c:v>4.1950471125036133</c:v>
                </c:pt>
                <c:pt idx="981">
                  <c:v>3.8974835132063745</c:v>
                </c:pt>
                <c:pt idx="982">
                  <c:v>3.5996743190968847</c:v>
                </c:pt>
                <c:pt idx="983">
                  <c:v>3.3016206458641477</c:v>
                </c:pt>
                <c:pt idx="984">
                  <c:v>3.0033236068144693</c:v>
                </c:pt>
                <c:pt idx="985">
                  <c:v>2.7047843128670275</c:v>
                </c:pt>
                <c:pt idx="986">
                  <c:v>2.4060038725495065</c:v>
                </c:pt>
                <c:pt idx="987">
                  <c:v>2.1069833919937926</c:v>
                </c:pt>
                <c:pt idx="988">
                  <c:v>1.807723974931734</c:v>
                </c:pt>
                <c:pt idx="989">
                  <c:v>1.5082267226909603</c:v>
                </c:pt>
                <c:pt idx="990">
                  <c:v>1.2084927341907663</c:v>
                </c:pt>
                <c:pt idx="991">
                  <c:v>0.90852310593805785</c:v>
                </c:pt>
                <c:pt idx="992">
                  <c:v>0.60831893202335729</c:v>
                </c:pt>
                <c:pt idx="993">
                  <c:v>0.30788130411687237</c:v>
                </c:pt>
                <c:pt idx="994">
                  <c:v>7.2113114646253848E-3</c:v>
                </c:pt>
                <c:pt idx="995">
                  <c:v>-0.29368995911535634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8A-4DCB-9DBA-7E98451CC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801480"/>
        <c:axId val="537252472"/>
      </c:scatterChart>
      <c:valAx>
        <c:axId val="50780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252472"/>
        <c:crosses val="autoZero"/>
        <c:crossBetween val="midCat"/>
      </c:valAx>
      <c:valAx>
        <c:axId val="537252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0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538368</xdr:colOff>
      <xdr:row>2</xdr:row>
      <xdr:rowOff>56419</xdr:rowOff>
    </xdr:from>
    <xdr:to>
      <xdr:col>35</xdr:col>
      <xdr:colOff>140317</xdr:colOff>
      <xdr:row>21</xdr:row>
      <xdr:rowOff>135932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444313</xdr:colOff>
          <xdr:row>22</xdr:row>
          <xdr:rowOff>131669</xdr:rowOff>
        </xdr:from>
        <xdr:to>
          <xdr:col>25</xdr:col>
          <xdr:colOff>329453</xdr:colOff>
          <xdr:row>45</xdr:row>
          <xdr:rowOff>64434</xdr:rowOff>
        </xdr:to>
        <xdr:sp macro="" textlink="">
          <xdr:nvSpPr>
            <xdr:cNvPr id="1028" name="listbo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23</xdr:row>
          <xdr:rowOff>142875</xdr:rowOff>
        </xdr:from>
        <xdr:to>
          <xdr:col>28</xdr:col>
          <xdr:colOff>523875</xdr:colOff>
          <xdr:row>29</xdr:row>
          <xdr:rowOff>38100</xdr:rowOff>
        </xdr:to>
        <xdr:sp macro="" textlink="">
          <xdr:nvSpPr>
            <xdr:cNvPr id="1030" name="output_label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123825</xdr:colOff>
          <xdr:row>24</xdr:row>
          <xdr:rowOff>38100</xdr:rowOff>
        </xdr:from>
        <xdr:to>
          <xdr:col>23</xdr:col>
          <xdr:colOff>114300</xdr:colOff>
          <xdr:row>28</xdr:row>
          <xdr:rowOff>38100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X1000"/>
  <sheetViews>
    <sheetView tabSelected="1" topLeftCell="B1" zoomScale="85" zoomScaleNormal="85" workbookViewId="0">
      <selection activeCell="T6" sqref="T6"/>
    </sheetView>
  </sheetViews>
  <sheetFormatPr defaultRowHeight="15.75" x14ac:dyDescent="0.25"/>
  <cols>
    <col min="1" max="4" width="9.140625" style="1"/>
    <col min="5" max="5" width="12.140625" style="1" customWidth="1"/>
    <col min="6" max="6" width="9.140625" style="1"/>
    <col min="7" max="7" width="12.7109375" style="1" customWidth="1"/>
    <col min="8" max="8" width="9.140625" style="1"/>
    <col min="9" max="9" width="11" style="1" customWidth="1"/>
    <col min="10" max="18" width="9.140625" style="1"/>
    <col min="19" max="19" width="10.28515625" style="1" bestFit="1" customWidth="1"/>
    <col min="20" max="20" width="9.140625" style="1"/>
    <col min="21" max="21" width="11.42578125" style="20" bestFit="1" customWidth="1"/>
    <col min="22" max="22" width="11.42578125" style="1" bestFit="1" customWidth="1"/>
    <col min="23" max="16384" width="9.140625" style="1"/>
  </cols>
  <sheetData>
    <row r="3" spans="1:24" x14ac:dyDescent="0.25">
      <c r="C3" s="30" t="s">
        <v>6</v>
      </c>
      <c r="D3" s="30"/>
      <c r="E3" s="30"/>
      <c r="F3" s="30"/>
      <c r="G3" s="30"/>
      <c r="K3" s="30" t="s">
        <v>33</v>
      </c>
      <c r="L3" s="30"/>
      <c r="M3" s="30"/>
      <c r="N3" s="30"/>
      <c r="P3" s="30" t="s">
        <v>34</v>
      </c>
      <c r="Q3" s="30"/>
      <c r="R3" s="30"/>
      <c r="S3" s="30"/>
      <c r="V3" s="27" t="s">
        <v>12</v>
      </c>
      <c r="W3" s="28"/>
      <c r="X3" s="29"/>
    </row>
    <row r="4" spans="1:24" ht="31.5" x14ac:dyDescent="0.25">
      <c r="A4" s="1" t="s">
        <v>32</v>
      </c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I4" s="2" t="s">
        <v>0</v>
      </c>
      <c r="K4" s="1" t="s">
        <v>8</v>
      </c>
      <c r="L4" s="1" t="s">
        <v>37</v>
      </c>
      <c r="M4" s="1" t="s">
        <v>7</v>
      </c>
      <c r="N4" s="1" t="s">
        <v>9</v>
      </c>
      <c r="P4" s="1" t="s">
        <v>10</v>
      </c>
      <c r="Q4" s="1" t="s">
        <v>38</v>
      </c>
      <c r="R4" s="1" t="s">
        <v>11</v>
      </c>
      <c r="S4" s="1" t="s">
        <v>9</v>
      </c>
      <c r="T4" s="1" t="s">
        <v>39</v>
      </c>
      <c r="V4" s="3" t="s">
        <v>13</v>
      </c>
      <c r="W4" s="4">
        <v>4.5929999999999999E-2</v>
      </c>
      <c r="X4" s="5" t="s">
        <v>14</v>
      </c>
    </row>
    <row r="5" spans="1:24" ht="18" x14ac:dyDescent="0.35">
      <c r="A5" s="20">
        <v>0</v>
      </c>
      <c r="C5" s="20">
        <f>$W$15</f>
        <v>80</v>
      </c>
      <c r="D5" s="20">
        <f t="shared" ref="D5:D68" si="0">0.5*$W$5*$W$10*$W$9*C5^2</f>
        <v>1.3747282726472962</v>
      </c>
      <c r="E5" s="20">
        <f t="shared" ref="E5:E68" si="1">D5/$W$4</f>
        <v>29.930944320646557</v>
      </c>
      <c r="F5" s="20">
        <f t="shared" ref="F5:F68" si="2">0.5*$W$6*$W$10*$W$9*C5^2</f>
        <v>1.1547717490237288</v>
      </c>
      <c r="G5" s="20">
        <f t="shared" ref="G5:G68" si="3">F5/$W$4</f>
        <v>25.141993229343107</v>
      </c>
      <c r="I5" s="20">
        <f>$W$14</f>
        <v>0.52359877559829882</v>
      </c>
      <c r="K5" s="20">
        <f>C5*COS(I5)</f>
        <v>69.282032302755098</v>
      </c>
      <c r="L5" s="20">
        <f>-(D5*COS(I5))-(F5*SIN(I5))</f>
        <v>-1.767935481925123</v>
      </c>
      <c r="M5" s="20">
        <f t="shared" ref="M5:M68" si="4">L5/$W$4</f>
        <v>-38.491954755609036</v>
      </c>
      <c r="N5" s="20">
        <v>0</v>
      </c>
      <c r="P5" s="20">
        <f>C5*SIN(I5)</f>
        <v>39.999999999999993</v>
      </c>
      <c r="Q5" s="20">
        <f t="shared" ref="Q5:Q68" si="5">-(D5*SIN(I5))+(F5*COS(I5))-($W$4*9.81)</f>
        <v>-0.13787576609651081</v>
      </c>
      <c r="R5" s="20">
        <f t="shared" ref="R5:R68" si="6">Q5/$W$4</f>
        <v>-3.0018673219357894</v>
      </c>
      <c r="S5" s="20">
        <v>0</v>
      </c>
      <c r="T5" s="1">
        <v>0</v>
      </c>
      <c r="V5" s="6" t="s">
        <v>15</v>
      </c>
      <c r="W5" s="7">
        <v>0.25</v>
      </c>
      <c r="X5" s="8"/>
    </row>
    <row r="6" spans="1:24" ht="18" x14ac:dyDescent="0.35">
      <c r="A6" s="20">
        <f t="shared" ref="A6:A69" si="7">A5+$W$18</f>
        <v>0.01</v>
      </c>
      <c r="C6" s="20">
        <f>SQRT((K6^2)+(P6^2))</f>
        <v>79.651814500774549</v>
      </c>
      <c r="D6" s="20">
        <f t="shared" si="0"/>
        <v>1.3627878024351003</v>
      </c>
      <c r="E6" s="20">
        <f t="shared" si="1"/>
        <v>29.670973273135214</v>
      </c>
      <c r="F6" s="20">
        <f t="shared" si="2"/>
        <v>1.1447417540454843</v>
      </c>
      <c r="G6" s="20">
        <f t="shared" si="3"/>
        <v>24.92361754943358</v>
      </c>
      <c r="I6" s="20">
        <f>ATAN(P6/K6)</f>
        <v>0.52568865845156076</v>
      </c>
      <c r="K6" s="20">
        <f t="shared" ref="K6:K69" si="8">K5+(M5*$W$18)</f>
        <v>68.897112755199004</v>
      </c>
      <c r="L6" s="20">
        <f>-(D6*COS(I6))-(F6*SIN(I6))</f>
        <v>-1.7532237312385037</v>
      </c>
      <c r="M6" s="20">
        <f t="shared" si="4"/>
        <v>-38.171646663150526</v>
      </c>
      <c r="N6" s="1">
        <f t="shared" ref="N6:N69" si="9">N5+(K5*$W$18)+(0.5*M5*$W$18^2)</f>
        <v>0.69089572528977061</v>
      </c>
      <c r="P6" s="20">
        <f t="shared" ref="P6:P69" si="10">P5+(R5*$W$18)</f>
        <v>39.969981326780633</v>
      </c>
      <c r="Q6" s="20">
        <f t="shared" si="5"/>
        <v>-0.14425512204909613</v>
      </c>
      <c r="R6" s="20">
        <f t="shared" si="6"/>
        <v>-3.1407603320073183</v>
      </c>
      <c r="S6" s="20">
        <f t="shared" ref="S6:S69" si="11">S5+(P5*$W$18)+(0.5*R5*$W$18^2)</f>
        <v>0.39984990663390313</v>
      </c>
      <c r="T6" s="1">
        <f>IF(AND(S5&gt;0,S6&lt;0),(-1*S5*(N6-N5)/(S6-S5)+N5),0)</f>
        <v>0</v>
      </c>
      <c r="V6" s="9" t="s">
        <v>16</v>
      </c>
      <c r="W6" s="7">
        <v>0.21</v>
      </c>
      <c r="X6" s="10"/>
    </row>
    <row r="7" spans="1:24" x14ac:dyDescent="0.25">
      <c r="A7" s="20">
        <f t="shared" si="7"/>
        <v>0.02</v>
      </c>
      <c r="C7" s="20">
        <f>SQRT((K7^2)+(P7^2))</f>
        <v>79.306047686439044</v>
      </c>
      <c r="D7" s="20">
        <f t="shared" si="0"/>
        <v>1.3509818178326818</v>
      </c>
      <c r="E7" s="20">
        <f t="shared" si="1"/>
        <v>29.413930281573737</v>
      </c>
      <c r="F7" s="20">
        <f t="shared" si="2"/>
        <v>1.1348247269794527</v>
      </c>
      <c r="G7" s="20">
        <f t="shared" si="3"/>
        <v>24.707701436521941</v>
      </c>
      <c r="I7" s="20">
        <f>ATAN(P7/K7)</f>
        <v>0.52776141204467708</v>
      </c>
      <c r="K7" s="20">
        <f t="shared" si="8"/>
        <v>68.515396288567501</v>
      </c>
      <c r="L7" s="20">
        <f>-(D7*COS(I7))-(F7*SIN(I7))</f>
        <v>-1.7386610437870589</v>
      </c>
      <c r="M7" s="20">
        <f t="shared" si="4"/>
        <v>-37.854584014523383</v>
      </c>
      <c r="N7" s="1">
        <f t="shared" si="9"/>
        <v>1.3779582705086031</v>
      </c>
      <c r="P7" s="20">
        <f t="shared" si="10"/>
        <v>39.938573723460557</v>
      </c>
      <c r="Q7" s="20">
        <f t="shared" si="5"/>
        <v>-0.15051195977806869</v>
      </c>
      <c r="R7" s="20">
        <f t="shared" si="6"/>
        <v>-3.276985843197664</v>
      </c>
      <c r="S7" s="20">
        <f t="shared" si="11"/>
        <v>0.79939268188510904</v>
      </c>
      <c r="T7" s="1">
        <f t="shared" ref="T7:T70" si="12">IF(AND(S6&gt;0,S7&lt;0),(-1*S6*(N7-N6)/(S7-S6)+N6),0)</f>
        <v>0</v>
      </c>
      <c r="V7" s="6" t="s">
        <v>17</v>
      </c>
      <c r="W7" s="7">
        <v>4.2700000000000002E-2</v>
      </c>
      <c r="X7" s="8" t="s">
        <v>18</v>
      </c>
    </row>
    <row r="8" spans="1:24" x14ac:dyDescent="0.25">
      <c r="A8" s="20">
        <f t="shared" si="7"/>
        <v>0.03</v>
      </c>
      <c r="C8" s="20">
        <f t="shared" ref="C8:C9" si="13">SQRT((K8^2)+(P8^2))</f>
        <v>78.962672011177474</v>
      </c>
      <c r="D8" s="20">
        <f t="shared" si="0"/>
        <v>1.3393083065838853</v>
      </c>
      <c r="E8" s="20">
        <f t="shared" si="1"/>
        <v>29.159771534593627</v>
      </c>
      <c r="F8" s="20">
        <f t="shared" si="2"/>
        <v>1.1250189775304638</v>
      </c>
      <c r="G8" s="20">
        <f t="shared" si="3"/>
        <v>24.494208089058649</v>
      </c>
      <c r="I8" s="20">
        <f t="shared" ref="I8:I9" si="14">ATAN(P8/K8)</f>
        <v>0.52981712957836091</v>
      </c>
      <c r="K8" s="20">
        <f t="shared" si="8"/>
        <v>68.136850448422265</v>
      </c>
      <c r="L8" s="20">
        <f t="shared" ref="L8:L9" si="15">-(D8*COS(I8))-(F8*SIN(I8))</f>
        <v>-1.7242455578571203</v>
      </c>
      <c r="M8" s="20">
        <f t="shared" si="4"/>
        <v>-37.540726276009586</v>
      </c>
      <c r="N8" s="1">
        <f t="shared" si="9"/>
        <v>2.0612195041935517</v>
      </c>
      <c r="P8" s="20">
        <f t="shared" si="10"/>
        <v>39.905803865028581</v>
      </c>
      <c r="Q8" s="20">
        <f t="shared" si="5"/>
        <v>-0.1566486564291148</v>
      </c>
      <c r="R8" s="20">
        <f t="shared" si="6"/>
        <v>-3.410595611345848</v>
      </c>
      <c r="S8" s="20">
        <f t="shared" si="11"/>
        <v>1.1986145698275548</v>
      </c>
      <c r="T8" s="1">
        <f t="shared" si="12"/>
        <v>0</v>
      </c>
      <c r="V8" s="6" t="s">
        <v>19</v>
      </c>
      <c r="W8" s="7">
        <f>W7/2</f>
        <v>2.1350000000000001E-2</v>
      </c>
      <c r="X8" s="8" t="s">
        <v>18</v>
      </c>
    </row>
    <row r="9" spans="1:24" ht="17.25" x14ac:dyDescent="0.25">
      <c r="A9" s="20">
        <f t="shared" si="7"/>
        <v>0.04</v>
      </c>
      <c r="C9" s="20">
        <f t="shared" si="13"/>
        <v>78.621660353515239</v>
      </c>
      <c r="D9" s="20">
        <f t="shared" si="0"/>
        <v>1.3277652944445681</v>
      </c>
      <c r="E9" s="20">
        <f t="shared" si="1"/>
        <v>28.908454048433882</v>
      </c>
      <c r="F9" s="20">
        <f t="shared" si="2"/>
        <v>1.1153228473334373</v>
      </c>
      <c r="G9" s="20">
        <f t="shared" si="3"/>
        <v>24.283101400684462</v>
      </c>
      <c r="I9" s="20">
        <f t="shared" si="14"/>
        <v>0.53185590298955965</v>
      </c>
      <c r="K9" s="20">
        <f t="shared" si="8"/>
        <v>67.761443185662174</v>
      </c>
      <c r="L9" s="20">
        <f t="shared" si="15"/>
        <v>-1.7099754393215192</v>
      </c>
      <c r="M9" s="20">
        <f t="shared" si="4"/>
        <v>-37.230033514511632</v>
      </c>
      <c r="N9" s="1">
        <f t="shared" si="9"/>
        <v>2.7407109723639742</v>
      </c>
      <c r="P9" s="20">
        <f t="shared" si="10"/>
        <v>39.871697908915124</v>
      </c>
      <c r="Q9" s="20">
        <f t="shared" si="5"/>
        <v>-0.16266753793085714</v>
      </c>
      <c r="R9" s="20">
        <f t="shared" si="6"/>
        <v>-3.541640277179559</v>
      </c>
      <c r="S9" s="20">
        <f t="shared" si="11"/>
        <v>1.5975020786972733</v>
      </c>
      <c r="T9" s="1">
        <f t="shared" si="12"/>
        <v>0</v>
      </c>
      <c r="V9" s="6" t="s">
        <v>20</v>
      </c>
      <c r="W9" s="7">
        <f>PI()*(W8)^2</f>
        <v>1.4320086173409336E-3</v>
      </c>
      <c r="X9" s="8" t="s">
        <v>21</v>
      </c>
    </row>
    <row r="10" spans="1:24" ht="17.25" x14ac:dyDescent="0.25">
      <c r="A10" s="20">
        <f t="shared" si="7"/>
        <v>0.05</v>
      </c>
      <c r="C10" s="20">
        <f t="shared" ref="C10:C27" si="16">SQRT((K10^2)+(P10^2))</f>
        <v>78.28298600822589</v>
      </c>
      <c r="D10" s="20">
        <f t="shared" si="0"/>
        <v>1.3163508443203893</v>
      </c>
      <c r="E10" s="20">
        <f t="shared" si="1"/>
        <v>28.65993564816872</v>
      </c>
      <c r="F10" s="20">
        <f t="shared" si="2"/>
        <v>1.105734709229127</v>
      </c>
      <c r="G10" s="20">
        <f t="shared" si="3"/>
        <v>24.074345944461726</v>
      </c>
      <c r="I10" s="20">
        <f t="shared" ref="I10:I27" si="17">ATAN(P10/K10)</f>
        <v>0.53387782296843589</v>
      </c>
      <c r="K10" s="20">
        <f t="shared" si="8"/>
        <v>67.389142850517061</v>
      </c>
      <c r="L10" s="20">
        <f t="shared" ref="L10:L27" si="18">-(D10*COS(I10))-(F10*SIN(I10))</f>
        <v>-1.6958488811773305</v>
      </c>
      <c r="M10" s="20">
        <f t="shared" si="4"/>
        <v>-36.922466387488143</v>
      </c>
      <c r="N10" s="1">
        <f t="shared" si="9"/>
        <v>3.4164639025448702</v>
      </c>
      <c r="P10" s="20">
        <f t="shared" si="10"/>
        <v>39.83628150614333</v>
      </c>
      <c r="Q10" s="20">
        <f t="shared" si="5"/>
        <v>-0.16857088024687011</v>
      </c>
      <c r="R10" s="20">
        <f t="shared" si="6"/>
        <v>-3.6701693935743549</v>
      </c>
      <c r="S10" s="20">
        <f t="shared" si="11"/>
        <v>1.9960419757725656</v>
      </c>
      <c r="T10" s="1">
        <f t="shared" si="12"/>
        <v>0</v>
      </c>
      <c r="V10" s="11" t="s">
        <v>22</v>
      </c>
      <c r="W10" s="12">
        <v>1.2</v>
      </c>
      <c r="X10" s="13" t="s">
        <v>23</v>
      </c>
    </row>
    <row r="11" spans="1:24" x14ac:dyDescent="0.25">
      <c r="A11" s="20">
        <f t="shared" si="7"/>
        <v>6.0000000000000005E-2</v>
      </c>
      <c r="C11" s="20">
        <f t="shared" si="16"/>
        <v>77.946622678423296</v>
      </c>
      <c r="D11" s="20">
        <f t="shared" si="0"/>
        <v>1.3050630554273988</v>
      </c>
      <c r="E11" s="20">
        <f t="shared" si="1"/>
        <v>28.414174949431718</v>
      </c>
      <c r="F11" s="20">
        <f t="shared" si="2"/>
        <v>1.0962529665590151</v>
      </c>
      <c r="G11" s="20">
        <f t="shared" si="3"/>
        <v>23.867906957522646</v>
      </c>
      <c r="I11" s="20">
        <f t="shared" si="17"/>
        <v>0.53588297897501591</v>
      </c>
      <c r="K11" s="20">
        <f t="shared" si="8"/>
        <v>67.019918186642172</v>
      </c>
      <c r="L11" s="20">
        <f t="shared" si="18"/>
        <v>-1.6818641030918902</v>
      </c>
      <c r="M11" s="20">
        <f t="shared" si="4"/>
        <v>-36.617986133069678</v>
      </c>
      <c r="N11" s="1">
        <f t="shared" si="9"/>
        <v>4.0885092077306657</v>
      </c>
      <c r="P11" s="20">
        <f t="shared" si="10"/>
        <v>39.799579812207583</v>
      </c>
      <c r="Q11" s="20">
        <f t="shared" si="5"/>
        <v>-0.17436091059313391</v>
      </c>
      <c r="R11" s="20">
        <f t="shared" si="6"/>
        <v>-3.7962314520603946</v>
      </c>
      <c r="S11" s="20">
        <f t="shared" si="11"/>
        <v>2.3942212823643203</v>
      </c>
      <c r="T11" s="1">
        <f t="shared" si="12"/>
        <v>0</v>
      </c>
      <c r="V11"/>
    </row>
    <row r="12" spans="1:24" x14ac:dyDescent="0.25">
      <c r="A12" s="20">
        <f t="shared" si="7"/>
        <v>7.0000000000000007E-2</v>
      </c>
      <c r="C12" s="20">
        <f t="shared" si="16"/>
        <v>77.6125444678337</v>
      </c>
      <c r="D12" s="20">
        <f t="shared" si="0"/>
        <v>1.2939000624747219</v>
      </c>
      <c r="E12" s="20">
        <f t="shared" si="1"/>
        <v>28.171131340620988</v>
      </c>
      <c r="F12" s="20">
        <f t="shared" si="2"/>
        <v>1.0868760524787664</v>
      </c>
      <c r="G12" s="20">
        <f t="shared" si="3"/>
        <v>23.66375032612163</v>
      </c>
      <c r="I12" s="20">
        <f t="shared" si="17"/>
        <v>0.53787145925551128</v>
      </c>
      <c r="K12" s="20">
        <f t="shared" si="8"/>
        <v>66.65373832531148</v>
      </c>
      <c r="L12" s="20">
        <f t="shared" si="18"/>
        <v>-1.6680193509569188</v>
      </c>
      <c r="M12" s="20">
        <f t="shared" si="4"/>
        <v>-36.316554560350944</v>
      </c>
      <c r="N12" s="1">
        <f t="shared" si="9"/>
        <v>4.7568774902904343</v>
      </c>
      <c r="P12" s="20">
        <f t="shared" si="10"/>
        <v>39.761617497686977</v>
      </c>
      <c r="Q12" s="20">
        <f t="shared" si="5"/>
        <v>-0.18003980862199104</v>
      </c>
      <c r="R12" s="20">
        <f t="shared" si="6"/>
        <v>-3.9198739085998486</v>
      </c>
      <c r="S12" s="20">
        <f t="shared" si="11"/>
        <v>2.792027268913793</v>
      </c>
      <c r="T12" s="1">
        <f t="shared" si="12"/>
        <v>0</v>
      </c>
      <c r="V12" s="27" t="s">
        <v>24</v>
      </c>
      <c r="W12" s="28"/>
      <c r="X12" s="29"/>
    </row>
    <row r="13" spans="1:24" x14ac:dyDescent="0.25">
      <c r="A13" s="20">
        <f t="shared" si="7"/>
        <v>0.08</v>
      </c>
      <c r="C13" s="20">
        <f t="shared" si="16"/>
        <v>77.280725873243554</v>
      </c>
      <c r="D13" s="20">
        <f t="shared" si="0"/>
        <v>1.2828600348686945</v>
      </c>
      <c r="E13" s="20">
        <f t="shared" si="1"/>
        <v>27.930764965571402</v>
      </c>
      <c r="F13" s="20">
        <f t="shared" si="2"/>
        <v>1.0776024292897035</v>
      </c>
      <c r="G13" s="20">
        <f t="shared" si="3"/>
        <v>23.461842571079981</v>
      </c>
      <c r="I13" s="20">
        <f t="shared" si="17"/>
        <v>0.53984335085832247</v>
      </c>
      <c r="K13" s="20">
        <f t="shared" si="8"/>
        <v>66.290572779707972</v>
      </c>
      <c r="L13" s="20">
        <f t="shared" si="18"/>
        <v>-1.6543128964506368</v>
      </c>
      <c r="M13" s="20">
        <f t="shared" si="4"/>
        <v>-36.018134039857109</v>
      </c>
      <c r="N13" s="1">
        <f t="shared" si="9"/>
        <v>5.4215990458155314</v>
      </c>
      <c r="P13" s="20">
        <f t="shared" si="10"/>
        <v>39.72241875860098</v>
      </c>
      <c r="Q13" s="20">
        <f t="shared" si="5"/>
        <v>-0.18560970757363865</v>
      </c>
      <c r="R13" s="20">
        <f t="shared" si="6"/>
        <v>-4.041143208657493</v>
      </c>
      <c r="S13" s="20">
        <f t="shared" si="11"/>
        <v>3.1894474501952326</v>
      </c>
      <c r="T13" s="1">
        <f t="shared" si="12"/>
        <v>0</v>
      </c>
      <c r="V13" s="14" t="s">
        <v>25</v>
      </c>
      <c r="W13" s="7">
        <v>30</v>
      </c>
      <c r="X13" s="15" t="s">
        <v>26</v>
      </c>
    </row>
    <row r="14" spans="1:24" x14ac:dyDescent="0.25">
      <c r="A14" s="20">
        <f t="shared" si="7"/>
        <v>0.09</v>
      </c>
      <c r="C14" s="20">
        <f t="shared" si="16"/>
        <v>76.95114177711794</v>
      </c>
      <c r="D14" s="20">
        <f t="shared" si="0"/>
        <v>1.2719411759377914</v>
      </c>
      <c r="E14" s="20">
        <f t="shared" si="1"/>
        <v>27.693036706679543</v>
      </c>
      <c r="F14" s="20">
        <f t="shared" si="2"/>
        <v>1.0684305877877447</v>
      </c>
      <c r="G14" s="20">
        <f t="shared" si="3"/>
        <v>23.262150833610814</v>
      </c>
      <c r="I14" s="20">
        <f t="shared" si="17"/>
        <v>0.54179873964973024</v>
      </c>
      <c r="K14" s="20">
        <f t="shared" si="8"/>
        <v>65.930391439309403</v>
      </c>
      <c r="L14" s="20">
        <f t="shared" si="18"/>
        <v>-1.6407430366077176</v>
      </c>
      <c r="M14" s="20">
        <f t="shared" si="4"/>
        <v>-35.722687494180661</v>
      </c>
      <c r="N14" s="1">
        <f t="shared" si="9"/>
        <v>6.0827038669106184</v>
      </c>
      <c r="P14" s="20">
        <f t="shared" si="10"/>
        <v>39.682007326514409</v>
      </c>
      <c r="Q14" s="20">
        <f t="shared" si="5"/>
        <v>-0.19107269539615052</v>
      </c>
      <c r="R14" s="20">
        <f t="shared" si="6"/>
        <v>-4.1600848115861204</v>
      </c>
      <c r="S14" s="20">
        <f t="shared" si="11"/>
        <v>3.5864695806208093</v>
      </c>
      <c r="T14" s="1">
        <f t="shared" si="12"/>
        <v>0</v>
      </c>
      <c r="V14" s="14" t="s">
        <v>25</v>
      </c>
      <c r="W14" s="16">
        <f>W13*PI()/180</f>
        <v>0.52359877559829882</v>
      </c>
      <c r="X14" s="15" t="s">
        <v>27</v>
      </c>
    </row>
    <row r="15" spans="1:24" x14ac:dyDescent="0.25">
      <c r="A15" s="20">
        <f t="shared" si="7"/>
        <v>9.9999999999999992E-2</v>
      </c>
      <c r="C15" s="20">
        <f t="shared" si="16"/>
        <v>76.623767440385592</v>
      </c>
      <c r="D15" s="20">
        <f t="shared" si="0"/>
        <v>1.2611417221777401</v>
      </c>
      <c r="E15" s="20">
        <f t="shared" si="1"/>
        <v>27.457908168468109</v>
      </c>
      <c r="F15" s="20">
        <f t="shared" si="2"/>
        <v>1.0593590466293017</v>
      </c>
      <c r="G15" s="20">
        <f t="shared" si="3"/>
        <v>23.06464286151321</v>
      </c>
      <c r="I15" s="20">
        <f t="shared" si="17"/>
        <v>0.54373771032928142</v>
      </c>
      <c r="K15" s="20">
        <f t="shared" si="8"/>
        <v>65.573164564367602</v>
      </c>
      <c r="L15" s="20">
        <f t="shared" si="18"/>
        <v>-1.6273080933969502</v>
      </c>
      <c r="M15" s="20">
        <f t="shared" si="4"/>
        <v>-35.430178388786203</v>
      </c>
      <c r="N15" s="1">
        <f t="shared" si="9"/>
        <v>6.7402216469290037</v>
      </c>
      <c r="P15" s="20">
        <f t="shared" si="10"/>
        <v>39.640406478398546</v>
      </c>
      <c r="Q15" s="20">
        <f t="shared" si="5"/>
        <v>-0.19643081583499017</v>
      </c>
      <c r="R15" s="20">
        <f t="shared" si="6"/>
        <v>-4.2767432143477064</v>
      </c>
      <c r="S15" s="20">
        <f t="shared" si="11"/>
        <v>3.9830816496453743</v>
      </c>
      <c r="T15" s="1">
        <f t="shared" si="12"/>
        <v>0</v>
      </c>
      <c r="V15" s="17" t="s">
        <v>28</v>
      </c>
      <c r="W15" s="7">
        <v>80</v>
      </c>
      <c r="X15" s="15" t="s">
        <v>29</v>
      </c>
    </row>
    <row r="16" spans="1:24" ht="18" x14ac:dyDescent="0.35">
      <c r="A16" s="20">
        <f t="shared" si="7"/>
        <v>0.10999999999999999</v>
      </c>
      <c r="C16" s="20">
        <f t="shared" si="16"/>
        <v>76.298578495385811</v>
      </c>
      <c r="D16" s="20">
        <f t="shared" si="0"/>
        <v>1.2504599425162155</v>
      </c>
      <c r="E16" s="20">
        <f t="shared" si="1"/>
        <v>27.22534166157665</v>
      </c>
      <c r="F16" s="20">
        <f t="shared" si="2"/>
        <v>1.0503863517136209</v>
      </c>
      <c r="G16" s="20">
        <f t="shared" si="3"/>
        <v>22.869286995724384</v>
      </c>
      <c r="I16" s="20">
        <f t="shared" si="17"/>
        <v>0.5456603464448786</v>
      </c>
      <c r="K16" s="20">
        <f t="shared" si="8"/>
        <v>65.218862780479739</v>
      </c>
      <c r="L16" s="20">
        <f t="shared" si="18"/>
        <v>-1.6140064133064769</v>
      </c>
      <c r="M16" s="20">
        <f t="shared" si="4"/>
        <v>-35.140570722980122</v>
      </c>
      <c r="N16" s="1">
        <f t="shared" si="9"/>
        <v>7.3941817836532397</v>
      </c>
      <c r="P16" s="20">
        <f t="shared" si="10"/>
        <v>39.597639046255068</v>
      </c>
      <c r="Q16" s="20">
        <f t="shared" si="5"/>
        <v>-0.20168606949294893</v>
      </c>
      <c r="R16" s="20">
        <f t="shared" si="6"/>
        <v>-4.3911619745906583</v>
      </c>
      <c r="S16" s="20">
        <f t="shared" si="11"/>
        <v>4.3792718772686428</v>
      </c>
      <c r="T16" s="1">
        <f t="shared" si="12"/>
        <v>0</v>
      </c>
      <c r="V16" s="21" t="s">
        <v>35</v>
      </c>
      <c r="W16" s="22">
        <f>W15*COS(W14)</f>
        <v>69.282032302755098</v>
      </c>
      <c r="X16" s="23" t="s">
        <v>29</v>
      </c>
    </row>
    <row r="17" spans="1:24" ht="18" x14ac:dyDescent="0.35">
      <c r="A17" s="20">
        <f t="shared" si="7"/>
        <v>0.11999999999999998</v>
      </c>
      <c r="C17" s="20">
        <f t="shared" si="16"/>
        <v>75.975550938973171</v>
      </c>
      <c r="D17" s="20">
        <f t="shared" si="0"/>
        <v>1.239894137596532</v>
      </c>
      <c r="E17" s="20">
        <f t="shared" si="1"/>
        <v>26.995300187165949</v>
      </c>
      <c r="F17" s="20">
        <f t="shared" si="2"/>
        <v>1.041511075581087</v>
      </c>
      <c r="G17" s="20">
        <f t="shared" si="3"/>
        <v>22.676052157219399</v>
      </c>
      <c r="I17" s="20">
        <f t="shared" si="17"/>
        <v>0.54756673040757542</v>
      </c>
      <c r="K17" s="20">
        <f t="shared" si="8"/>
        <v>64.867457073249938</v>
      </c>
      <c r="L17" s="20">
        <f t="shared" si="18"/>
        <v>-1.6008363669364631</v>
      </c>
      <c r="M17" s="20">
        <f t="shared" si="4"/>
        <v>-34.853829021042088</v>
      </c>
      <c r="N17" s="1">
        <f t="shared" si="9"/>
        <v>8.044613382921888</v>
      </c>
      <c r="P17" s="20">
        <f t="shared" si="10"/>
        <v>39.553727426509163</v>
      </c>
      <c r="Q17" s="20">
        <f t="shared" si="5"/>
        <v>-0.2068404148613992</v>
      </c>
      <c r="R17" s="20">
        <f t="shared" si="6"/>
        <v>-4.5033837331025302</v>
      </c>
      <c r="S17" s="20">
        <f t="shared" si="11"/>
        <v>4.7750287096324637</v>
      </c>
      <c r="T17" s="1">
        <f t="shared" si="12"/>
        <v>0</v>
      </c>
      <c r="V17" s="21" t="s">
        <v>36</v>
      </c>
      <c r="W17" s="22">
        <f>W15*SIN(W14)</f>
        <v>39.999999999999993</v>
      </c>
      <c r="X17" s="23" t="s">
        <v>29</v>
      </c>
    </row>
    <row r="18" spans="1:24" x14ac:dyDescent="0.25">
      <c r="A18" s="20">
        <f t="shared" si="7"/>
        <v>0.12999999999999998</v>
      </c>
      <c r="C18" s="20">
        <f t="shared" si="16"/>
        <v>75.654661125776087</v>
      </c>
      <c r="D18" s="20">
        <f t="shared" si="0"/>
        <v>1.229442639079787</v>
      </c>
      <c r="E18" s="20">
        <f t="shared" si="1"/>
        <v>26.767747421724081</v>
      </c>
      <c r="F18" s="20">
        <f t="shared" si="2"/>
        <v>1.0327318168270212</v>
      </c>
      <c r="G18" s="20">
        <f t="shared" si="3"/>
        <v>22.484907834248229</v>
      </c>
      <c r="I18" s="20">
        <f t="shared" si="17"/>
        <v>0.54945694350608865</v>
      </c>
      <c r="K18" s="20">
        <f t="shared" si="8"/>
        <v>64.51891878303951</v>
      </c>
      <c r="L18" s="20">
        <f t="shared" si="18"/>
        <v>-1.5877963485990874</v>
      </c>
      <c r="M18" s="20">
        <f t="shared" si="4"/>
        <v>-34.56991832351595</v>
      </c>
      <c r="N18" s="1">
        <f t="shared" si="9"/>
        <v>8.6915452622033342</v>
      </c>
      <c r="P18" s="20">
        <f t="shared" si="10"/>
        <v>39.508693589178137</v>
      </c>
      <c r="Q18" s="20">
        <f t="shared" si="5"/>
        <v>-0.2118957693237386</v>
      </c>
      <c r="R18" s="20">
        <f t="shared" si="6"/>
        <v>-4.6134502356572744</v>
      </c>
      <c r="S18" s="20">
        <f t="shared" si="11"/>
        <v>5.1703408147109</v>
      </c>
      <c r="T18" s="1">
        <f t="shared" si="12"/>
        <v>0</v>
      </c>
      <c r="V18" s="18" t="s">
        <v>30</v>
      </c>
      <c r="W18" s="12">
        <v>0.01</v>
      </c>
      <c r="X18" s="19" t="s">
        <v>31</v>
      </c>
    </row>
    <row r="19" spans="1:24" x14ac:dyDescent="0.25">
      <c r="A19" s="20">
        <f t="shared" si="7"/>
        <v>0.13999999999999999</v>
      </c>
      <c r="C19" s="20">
        <f t="shared" si="16"/>
        <v>75.335885761604985</v>
      </c>
      <c r="D19" s="20">
        <f t="shared" si="0"/>
        <v>1.2191038089648969</v>
      </c>
      <c r="E19" s="20">
        <f t="shared" si="1"/>
        <v>26.542647702262069</v>
      </c>
      <c r="F19" s="20">
        <f t="shared" si="2"/>
        <v>1.0240471995305134</v>
      </c>
      <c r="G19" s="20">
        <f t="shared" si="3"/>
        <v>22.295824069900139</v>
      </c>
      <c r="I19" s="20">
        <f t="shared" si="17"/>
        <v>0.55133106592103021</v>
      </c>
      <c r="K19" s="20">
        <f t="shared" si="8"/>
        <v>64.173219599804355</v>
      </c>
      <c r="L19" s="20">
        <f t="shared" si="18"/>
        <v>-1.5748847759256988</v>
      </c>
      <c r="M19" s="20">
        <f t="shared" si="4"/>
        <v>-34.288804178656626</v>
      </c>
      <c r="N19" s="1">
        <f t="shared" si="9"/>
        <v>9.3350059541175536</v>
      </c>
      <c r="P19" s="20">
        <f t="shared" si="10"/>
        <v>39.462559086821564</v>
      </c>
      <c r="Q19" s="20">
        <f t="shared" si="5"/>
        <v>-0.2168540101318574</v>
      </c>
      <c r="R19" s="20">
        <f t="shared" si="6"/>
        <v>-4.7214023542751447</v>
      </c>
      <c r="S19" s="20">
        <f t="shared" si="11"/>
        <v>5.5651970780908986</v>
      </c>
      <c r="T19" s="1">
        <f t="shared" si="12"/>
        <v>0</v>
      </c>
    </row>
    <row r="20" spans="1:24" x14ac:dyDescent="0.25">
      <c r="A20" s="20">
        <f t="shared" si="7"/>
        <v>0.15</v>
      </c>
      <c r="C20" s="20">
        <f t="shared" si="16"/>
        <v>75.019201897006468</v>
      </c>
      <c r="D20" s="20">
        <f t="shared" si="0"/>
        <v>1.2088760389260167</v>
      </c>
      <c r="E20" s="20">
        <f t="shared" si="1"/>
        <v>26.31996601188802</v>
      </c>
      <c r="F20" s="20">
        <f t="shared" si="2"/>
        <v>1.0154558726978542</v>
      </c>
      <c r="G20" s="20">
        <f t="shared" si="3"/>
        <v>22.108771449985941</v>
      </c>
      <c r="I20" s="20">
        <f t="shared" si="17"/>
        <v>0.55318917673886636</v>
      </c>
      <c r="K20" s="20">
        <f t="shared" si="8"/>
        <v>63.830331558017789</v>
      </c>
      <c r="L20" s="20">
        <f t="shared" si="18"/>
        <v>-1.562100089481036</v>
      </c>
      <c r="M20" s="20">
        <f t="shared" si="4"/>
        <v>-34.010452634030827</v>
      </c>
      <c r="N20" s="1">
        <f t="shared" si="9"/>
        <v>9.9750237099066652</v>
      </c>
      <c r="P20" s="20">
        <f t="shared" si="10"/>
        <v>39.415345063278814</v>
      </c>
      <c r="Q20" s="20">
        <f t="shared" si="5"/>
        <v>-0.22171697535644469</v>
      </c>
      <c r="R20" s="20">
        <f t="shared" si="6"/>
        <v>-4.8272801079130137</v>
      </c>
      <c r="S20" s="20">
        <f t="shared" si="11"/>
        <v>5.9595865988414003</v>
      </c>
      <c r="T20" s="1">
        <f t="shared" si="12"/>
        <v>0</v>
      </c>
      <c r="V20" s="24" t="s">
        <v>40</v>
      </c>
      <c r="W20" s="25">
        <f>MAX(T6:T1000)</f>
        <v>241.94438494912512</v>
      </c>
      <c r="X20" s="26" t="s">
        <v>18</v>
      </c>
    </row>
    <row r="21" spans="1:24" x14ac:dyDescent="0.25">
      <c r="A21" s="20">
        <f t="shared" si="7"/>
        <v>0.16</v>
      </c>
      <c r="C21" s="20">
        <f t="shared" si="16"/>
        <v>74.704586920959557</v>
      </c>
      <c r="D21" s="20">
        <f t="shared" si="0"/>
        <v>1.1987577496668265</v>
      </c>
      <c r="E21" s="20">
        <f t="shared" si="1"/>
        <v>26.099667965748456</v>
      </c>
      <c r="F21" s="20">
        <f t="shared" si="2"/>
        <v>1.0069565097201341</v>
      </c>
      <c r="G21" s="20">
        <f t="shared" si="3"/>
        <v>21.923721091228696</v>
      </c>
      <c r="I21" s="20">
        <f t="shared" si="17"/>
        <v>0.55503135396560932</v>
      </c>
      <c r="K21" s="20">
        <f t="shared" si="8"/>
        <v>63.490227031677485</v>
      </c>
      <c r="L21" s="20">
        <f t="shared" si="18"/>
        <v>-1.5494407523843614</v>
      </c>
      <c r="M21" s="20">
        <f t="shared" si="4"/>
        <v>-33.734830228268265</v>
      </c>
      <c r="N21" s="1">
        <f t="shared" si="9"/>
        <v>10.611626502855142</v>
      </c>
      <c r="P21" s="20">
        <f t="shared" si="10"/>
        <v>39.367072262199684</v>
      </c>
      <c r="Q21" s="20">
        <f t="shared" si="5"/>
        <v>-0.22648646481191509</v>
      </c>
      <c r="R21" s="20">
        <f t="shared" si="6"/>
        <v>-4.9311226826021137</v>
      </c>
      <c r="S21" s="20">
        <f t="shared" si="11"/>
        <v>6.3534986854687929</v>
      </c>
      <c r="T21" s="1">
        <f t="shared" si="12"/>
        <v>0</v>
      </c>
    </row>
    <row r="22" spans="1:24" x14ac:dyDescent="0.25">
      <c r="A22" s="20">
        <f t="shared" si="7"/>
        <v>0.17</v>
      </c>
      <c r="C22" s="20">
        <f t="shared" si="16"/>
        <v>74.392018554710518</v>
      </c>
      <c r="D22" s="20">
        <f t="shared" si="0"/>
        <v>1.1887473902912011</v>
      </c>
      <c r="E22" s="20">
        <f t="shared" si="1"/>
        <v>25.88171979732639</v>
      </c>
      <c r="F22" s="20">
        <f t="shared" si="2"/>
        <v>0.99854780784460895</v>
      </c>
      <c r="G22" s="20">
        <f t="shared" si="3"/>
        <v>21.740644629754168</v>
      </c>
      <c r="I22" s="20">
        <f t="shared" si="17"/>
        <v>0.55685767454024748</v>
      </c>
      <c r="K22" s="20">
        <f t="shared" si="8"/>
        <v>63.1528787293948</v>
      </c>
      <c r="L22" s="20">
        <f t="shared" si="18"/>
        <v>-1.5369052499374036</v>
      </c>
      <c r="M22" s="20">
        <f t="shared" si="4"/>
        <v>-33.461903982961111</v>
      </c>
      <c r="N22" s="1">
        <f t="shared" si="9"/>
        <v>11.244842031660504</v>
      </c>
      <c r="P22" s="20">
        <f t="shared" si="10"/>
        <v>39.317761035373664</v>
      </c>
      <c r="Q22" s="20">
        <f t="shared" si="5"/>
        <v>-0.23116424095670901</v>
      </c>
      <c r="R22" s="20">
        <f t="shared" si="6"/>
        <v>-5.0329684510496193</v>
      </c>
      <c r="S22" s="20">
        <f t="shared" si="11"/>
        <v>6.7469228519566595</v>
      </c>
      <c r="T22" s="1">
        <f t="shared" si="12"/>
        <v>0</v>
      </c>
    </row>
    <row r="23" spans="1:24" x14ac:dyDescent="0.25">
      <c r="A23" s="20">
        <f t="shared" si="7"/>
        <v>0.18000000000000002</v>
      </c>
      <c r="C23" s="20">
        <f t="shared" si="16"/>
        <v>74.081474845742662</v>
      </c>
      <c r="D23" s="20">
        <f t="shared" si="0"/>
        <v>1.1788434376897887</v>
      </c>
      <c r="E23" s="20">
        <f t="shared" si="1"/>
        <v>25.666088345085754</v>
      </c>
      <c r="F23" s="20">
        <f t="shared" si="2"/>
        <v>0.99022848765942262</v>
      </c>
      <c r="G23" s="20">
        <f t="shared" si="3"/>
        <v>21.559514209872038</v>
      </c>
      <c r="I23" s="20">
        <f t="shared" si="17"/>
        <v>0.55866821434791969</v>
      </c>
      <c r="K23" s="20">
        <f t="shared" si="8"/>
        <v>62.818259689565188</v>
      </c>
      <c r="L23" s="20">
        <f t="shared" si="18"/>
        <v>-1.5244920892589739</v>
      </c>
      <c r="M23" s="20">
        <f t="shared" si="4"/>
        <v>-33.191641394708775</v>
      </c>
      <c r="N23" s="1">
        <f t="shared" si="9"/>
        <v>11.874697723755304</v>
      </c>
      <c r="P23" s="20">
        <f t="shared" si="10"/>
        <v>39.26743135086317</v>
      </c>
      <c r="Q23" s="20">
        <f t="shared" si="5"/>
        <v>-0.23575202976971049</v>
      </c>
      <c r="R23" s="20">
        <f t="shared" si="6"/>
        <v>-5.1328549917202375</v>
      </c>
      <c r="S23" s="20">
        <f t="shared" si="11"/>
        <v>7.139848813887844</v>
      </c>
      <c r="T23" s="1">
        <f t="shared" si="12"/>
        <v>0</v>
      </c>
    </row>
    <row r="24" spans="1:24" x14ac:dyDescent="0.25">
      <c r="A24" s="20">
        <f t="shared" si="7"/>
        <v>0.19000000000000003</v>
      </c>
      <c r="C24" s="20">
        <f t="shared" si="16"/>
        <v>73.772934161877728</v>
      </c>
      <c r="D24" s="20">
        <f t="shared" si="0"/>
        <v>1.1690443959420347</v>
      </c>
      <c r="E24" s="20">
        <f t="shared" si="1"/>
        <v>25.452741039452096</v>
      </c>
      <c r="F24" s="20">
        <f t="shared" si="2"/>
        <v>0.98199729259130908</v>
      </c>
      <c r="G24" s="20">
        <f t="shared" si="3"/>
        <v>21.380302473139757</v>
      </c>
      <c r="I24" s="20">
        <f t="shared" si="17"/>
        <v>0.56046304823283921</v>
      </c>
      <c r="K24" s="20">
        <f t="shared" si="8"/>
        <v>62.486343275618104</v>
      </c>
      <c r="L24" s="20">
        <f t="shared" si="18"/>
        <v>-1.5121997989261415</v>
      </c>
      <c r="M24" s="20">
        <f t="shared" si="4"/>
        <v>-32.924010427305497</v>
      </c>
      <c r="N24" s="1">
        <f t="shared" si="9"/>
        <v>12.501220738581221</v>
      </c>
      <c r="P24" s="20">
        <f t="shared" si="10"/>
        <v>39.216102800945968</v>
      </c>
      <c r="Q24" s="20">
        <f t="shared" si="5"/>
        <v>-0.24025152160347979</v>
      </c>
      <c r="R24" s="20">
        <f t="shared" si="6"/>
        <v>-5.2308191074130157</v>
      </c>
      <c r="S24" s="20">
        <f t="shared" si="11"/>
        <v>7.5322664846468896</v>
      </c>
      <c r="T24" s="1">
        <f t="shared" si="12"/>
        <v>0</v>
      </c>
    </row>
    <row r="25" spans="1:24" x14ac:dyDescent="0.25">
      <c r="A25" s="20">
        <f t="shared" si="7"/>
        <v>0.20000000000000004</v>
      </c>
      <c r="C25" s="20">
        <f t="shared" si="16"/>
        <v>73.466375185505512</v>
      </c>
      <c r="D25" s="20">
        <f t="shared" si="0"/>
        <v>1.159348795733214</v>
      </c>
      <c r="E25" s="20">
        <f t="shared" si="1"/>
        <v>25.241645890120054</v>
      </c>
      <c r="F25" s="20">
        <f t="shared" si="2"/>
        <v>0.97385298841589985</v>
      </c>
      <c r="G25" s="20">
        <f t="shared" si="3"/>
        <v>21.202982547700845</v>
      </c>
      <c r="I25" s="20">
        <f t="shared" si="17"/>
        <v>0.56224225001097194</v>
      </c>
      <c r="K25" s="20">
        <f t="shared" si="8"/>
        <v>62.157103171345049</v>
      </c>
      <c r="L25" s="20">
        <f t="shared" si="18"/>
        <v>-1.5000269286218486</v>
      </c>
      <c r="M25" s="20">
        <f t="shared" si="4"/>
        <v>-32.658979504068121</v>
      </c>
      <c r="N25" s="1">
        <f t="shared" si="9"/>
        <v>13.124437970816036</v>
      </c>
      <c r="P25" s="20">
        <f t="shared" si="10"/>
        <v>39.163794609871836</v>
      </c>
      <c r="Q25" s="20">
        <f t="shared" si="5"/>
        <v>-0.24466437201499053</v>
      </c>
      <c r="R25" s="20">
        <f t="shared" si="6"/>
        <v>-5.3268968433483677</v>
      </c>
      <c r="S25" s="20">
        <f t="shared" si="11"/>
        <v>7.9241659717009787</v>
      </c>
      <c r="T25" s="1">
        <f t="shared" si="12"/>
        <v>0</v>
      </c>
    </row>
    <row r="26" spans="1:24" x14ac:dyDescent="0.25">
      <c r="A26" s="20">
        <f t="shared" si="7"/>
        <v>0.21000000000000005</v>
      </c>
      <c r="C26" s="20">
        <f t="shared" si="16"/>
        <v>73.161776907938474</v>
      </c>
      <c r="D26" s="20">
        <f t="shared" si="0"/>
        <v>1.1497551937860362</v>
      </c>
      <c r="E26" s="20">
        <f t="shared" si="1"/>
        <v>25.032771473678125</v>
      </c>
      <c r="F26" s="20">
        <f t="shared" si="2"/>
        <v>0.96579436278027042</v>
      </c>
      <c r="G26" s="20">
        <f t="shared" si="3"/>
        <v>21.027528037889624</v>
      </c>
      <c r="I26" s="20">
        <f t="shared" si="17"/>
        <v>0.56400589248247524</v>
      </c>
      <c r="K26" s="20">
        <f t="shared" si="8"/>
        <v>61.830513376304367</v>
      </c>
      <c r="L26" s="20">
        <f t="shared" si="18"/>
        <v>-1.4879720487888406</v>
      </c>
      <c r="M26" s="20">
        <f t="shared" si="4"/>
        <v>-32.396517500301343</v>
      </c>
      <c r="N26" s="1">
        <f t="shared" si="9"/>
        <v>13.744376053554284</v>
      </c>
      <c r="P26" s="20">
        <f t="shared" si="10"/>
        <v>39.11052564143835</v>
      </c>
      <c r="Q26" s="20">
        <f t="shared" si="5"/>
        <v>-0.2489922025745363</v>
      </c>
      <c r="R26" s="20">
        <f t="shared" si="6"/>
        <v>-5.4211235047798025</v>
      </c>
      <c r="S26" s="20">
        <f t="shared" si="11"/>
        <v>8.3155375729575294</v>
      </c>
      <c r="T26" s="1">
        <f t="shared" si="12"/>
        <v>0</v>
      </c>
    </row>
    <row r="27" spans="1:24" x14ac:dyDescent="0.25">
      <c r="A27" s="20">
        <f t="shared" si="7"/>
        <v>0.22000000000000006</v>
      </c>
      <c r="C27" s="20">
        <f t="shared" si="16"/>
        <v>72.859118623888378</v>
      </c>
      <c r="D27" s="20">
        <f t="shared" si="0"/>
        <v>1.1402621723064152</v>
      </c>
      <c r="E27" s="20">
        <f t="shared" si="1"/>
        <v>24.826086921541808</v>
      </c>
      <c r="F27" s="20">
        <f t="shared" si="2"/>
        <v>0.9578202247373887</v>
      </c>
      <c r="G27" s="20">
        <f t="shared" si="3"/>
        <v>20.853913014095117</v>
      </c>
      <c r="I27" s="20">
        <f t="shared" si="17"/>
        <v>0.56575404744390068</v>
      </c>
      <c r="K27" s="20">
        <f t="shared" si="8"/>
        <v>61.506548201301356</v>
      </c>
      <c r="L27" s="20">
        <f t="shared" si="18"/>
        <v>-1.4760337502898118</v>
      </c>
      <c r="M27" s="20">
        <f t="shared" si="4"/>
        <v>-32.136593735898366</v>
      </c>
      <c r="N27" s="1">
        <f t="shared" si="9"/>
        <v>14.361061361442314</v>
      </c>
      <c r="P27" s="20">
        <f t="shared" si="10"/>
        <v>39.056314406390555</v>
      </c>
      <c r="Q27" s="20">
        <f t="shared" si="5"/>
        <v>-0.25323660165344325</v>
      </c>
      <c r="R27" s="20">
        <f t="shared" si="6"/>
        <v>-5.5135336741442034</v>
      </c>
      <c r="S27" s="20">
        <f t="shared" si="11"/>
        <v>8.7063717731966737</v>
      </c>
      <c r="T27" s="1">
        <f t="shared" si="12"/>
        <v>0</v>
      </c>
    </row>
    <row r="28" spans="1:24" x14ac:dyDescent="0.25">
      <c r="A28" s="20">
        <f t="shared" si="7"/>
        <v>0.23000000000000007</v>
      </c>
      <c r="C28" s="20">
        <f t="shared" ref="C28:C61" si="19">SQRT((K28^2)+(P28^2))</f>
        <v>72.558379926061505</v>
      </c>
      <c r="D28" s="20">
        <f t="shared" si="0"/>
        <v>1.1308683384429903</v>
      </c>
      <c r="E28" s="20">
        <f t="shared" si="1"/>
        <v>24.621561908186159</v>
      </c>
      <c r="F28" s="20">
        <f t="shared" si="2"/>
        <v>0.94992940429211181</v>
      </c>
      <c r="G28" s="20">
        <f t="shared" si="3"/>
        <v>20.682112002876373</v>
      </c>
      <c r="I28" s="20">
        <f t="shared" ref="I28:I61" si="20">ATAN(P28/K28)</f>
        <v>0.5674867857001672</v>
      </c>
      <c r="K28" s="20">
        <f t="shared" si="8"/>
        <v>61.185182263942373</v>
      </c>
      <c r="L28" s="20">
        <f t="shared" ref="L28:L61" si="21">-(D28*COS(I28))-(F28*SIN(I28))</f>
        <v>-1.4642106440736318</v>
      </c>
      <c r="M28" s="20">
        <f t="shared" si="4"/>
        <v>-31.879177968073847</v>
      </c>
      <c r="N28" s="1">
        <f t="shared" si="9"/>
        <v>14.974520013768533</v>
      </c>
      <c r="P28" s="20">
        <f t="shared" si="10"/>
        <v>39.001179069649112</v>
      </c>
      <c r="Q28" s="20">
        <f t="shared" si="5"/>
        <v>-0.25739912519121227</v>
      </c>
      <c r="R28" s="20">
        <f t="shared" si="6"/>
        <v>-5.6041612277642558</v>
      </c>
      <c r="S28" s="20">
        <f t="shared" si="11"/>
        <v>9.0966592405768729</v>
      </c>
      <c r="T28" s="1">
        <f t="shared" si="12"/>
        <v>0</v>
      </c>
    </row>
    <row r="29" spans="1:24" x14ac:dyDescent="0.25">
      <c r="A29" s="20">
        <f t="shared" si="7"/>
        <v>0.24000000000000007</v>
      </c>
      <c r="C29" s="20">
        <f t="shared" si="19"/>
        <v>72.25954069987003</v>
      </c>
      <c r="D29" s="20">
        <f t="shared" si="0"/>
        <v>1.1215723237600226</v>
      </c>
      <c r="E29" s="20">
        <f t="shared" si="1"/>
        <v>24.419166639669555</v>
      </c>
      <c r="F29" s="20">
        <f t="shared" si="2"/>
        <v>0.94212075195841893</v>
      </c>
      <c r="G29" s="20">
        <f t="shared" si="3"/>
        <v>20.512099977322425</v>
      </c>
      <c r="I29" s="20">
        <f t="shared" si="20"/>
        <v>0.56920417707630944</v>
      </c>
      <c r="K29" s="20">
        <f t="shared" si="8"/>
        <v>60.866390484261636</v>
      </c>
      <c r="L29" s="20">
        <f t="shared" si="21"/>
        <v>-1.4525013608475623</v>
      </c>
      <c r="M29" s="20">
        <f t="shared" si="4"/>
        <v>-31.624240384227353</v>
      </c>
      <c r="N29" s="1">
        <f t="shared" si="9"/>
        <v>15.584777877509552</v>
      </c>
      <c r="P29" s="20">
        <f t="shared" si="10"/>
        <v>38.945137457371466</v>
      </c>
      <c r="Q29" s="20">
        <f t="shared" si="5"/>
        <v>-0.26148129744269227</v>
      </c>
      <c r="R29" s="20">
        <f t="shared" si="6"/>
        <v>-5.693039352116096</v>
      </c>
      <c r="S29" s="20">
        <f t="shared" si="11"/>
        <v>9.4863908232119751</v>
      </c>
      <c r="T29" s="1">
        <f t="shared" si="12"/>
        <v>0</v>
      </c>
    </row>
    <row r="30" spans="1:24" x14ac:dyDescent="0.25">
      <c r="A30" s="20">
        <f t="shared" si="7"/>
        <v>0.25000000000000006</v>
      </c>
      <c r="C30" s="20">
        <f t="shared" si="19"/>
        <v>71.962581118256239</v>
      </c>
      <c r="D30" s="20">
        <f t="shared" si="0"/>
        <v>1.1123727837232782</v>
      </c>
      <c r="E30" s="20">
        <f t="shared" si="1"/>
        <v>24.218871842440198</v>
      </c>
      <c r="F30" s="20">
        <f t="shared" si="2"/>
        <v>0.93439313832755377</v>
      </c>
      <c r="G30" s="20">
        <f t="shared" si="3"/>
        <v>20.343852347649769</v>
      </c>
      <c r="I30" s="20">
        <f t="shared" si="20"/>
        <v>0.57090629042900476</v>
      </c>
      <c r="K30" s="20">
        <f t="shared" si="8"/>
        <v>60.550148080419362</v>
      </c>
      <c r="L30" s="20">
        <f t="shared" si="21"/>
        <v>-1.4409045507553389</v>
      </c>
      <c r="M30" s="20">
        <f t="shared" si="4"/>
        <v>-31.371751594934441</v>
      </c>
      <c r="N30" s="1">
        <f t="shared" si="9"/>
        <v>16.191860570332956</v>
      </c>
      <c r="P30" s="20">
        <f t="shared" si="10"/>
        <v>38.888207063850302</v>
      </c>
      <c r="Q30" s="20">
        <f t="shared" si="5"/>
        <v>-0.26548461170585941</v>
      </c>
      <c r="R30" s="20">
        <f t="shared" si="6"/>
        <v>-5.7802005596747099</v>
      </c>
      <c r="S30" s="20">
        <f t="shared" si="11"/>
        <v>9.8755575458180846</v>
      </c>
      <c r="T30" s="1">
        <f t="shared" si="12"/>
        <v>0</v>
      </c>
    </row>
    <row r="31" spans="1:24" x14ac:dyDescent="0.25">
      <c r="A31" s="20">
        <f t="shared" si="7"/>
        <v>0.26000000000000006</v>
      </c>
      <c r="C31" s="20">
        <f t="shared" si="19"/>
        <v>71.667481636626945</v>
      </c>
      <c r="D31" s="20">
        <f t="shared" si="0"/>
        <v>1.1032683971985391</v>
      </c>
      <c r="E31" s="20">
        <f t="shared" si="1"/>
        <v>24.020648752417571</v>
      </c>
      <c r="F31" s="20">
        <f t="shared" si="2"/>
        <v>0.92674545364677274</v>
      </c>
      <c r="G31" s="20">
        <f t="shared" si="3"/>
        <v>20.177344952030758</v>
      </c>
      <c r="I31" s="20">
        <f t="shared" si="20"/>
        <v>0.57259319365788319</v>
      </c>
      <c r="K31" s="20">
        <f t="shared" si="8"/>
        <v>60.23643056447002</v>
      </c>
      <c r="L31" s="20">
        <f t="shared" si="21"/>
        <v>-1.4294188830610144</v>
      </c>
      <c r="M31" s="20">
        <f t="shared" si="4"/>
        <v>-31.121682627063237</v>
      </c>
      <c r="N31" s="1">
        <f t="shared" si="9"/>
        <v>16.795793463557402</v>
      </c>
      <c r="P31" s="20">
        <f t="shared" si="10"/>
        <v>38.830405058253554</v>
      </c>
      <c r="Q31" s="20">
        <f t="shared" si="5"/>
        <v>-0.26941053103077189</v>
      </c>
      <c r="R31" s="20">
        <f t="shared" si="6"/>
        <v>-5.865676704349486</v>
      </c>
      <c r="S31" s="20">
        <f t="shared" si="11"/>
        <v>10.264150606428604</v>
      </c>
      <c r="T31" s="1">
        <f t="shared" si="12"/>
        <v>0</v>
      </c>
    </row>
    <row r="32" spans="1:24" x14ac:dyDescent="0.25">
      <c r="A32" s="20">
        <f t="shared" si="7"/>
        <v>0.27000000000000007</v>
      </c>
      <c r="C32" s="20">
        <f t="shared" si="19"/>
        <v>71.374222987895507</v>
      </c>
      <c r="D32" s="20">
        <f t="shared" si="0"/>
        <v>1.0942578659623858</v>
      </c>
      <c r="E32" s="20">
        <f t="shared" si="1"/>
        <v>23.82446910434108</v>
      </c>
      <c r="F32" s="20">
        <f t="shared" si="2"/>
        <v>0.91917660740840412</v>
      </c>
      <c r="G32" s="20">
        <f t="shared" si="3"/>
        <v>20.01255404764651</v>
      </c>
      <c r="I32" s="20">
        <f t="shared" si="20"/>
        <v>0.57426495371662767</v>
      </c>
      <c r="K32" s="20">
        <f t="shared" si="8"/>
        <v>59.925213738199389</v>
      </c>
      <c r="L32" s="20">
        <f t="shared" si="21"/>
        <v>-1.4180430458384625</v>
      </c>
      <c r="M32" s="20">
        <f t="shared" si="4"/>
        <v>-30.874004917014208</v>
      </c>
      <c r="N32" s="1">
        <f t="shared" si="9"/>
        <v>17.396601685070749</v>
      </c>
      <c r="P32" s="20">
        <f t="shared" si="10"/>
        <v>38.771748291210059</v>
      </c>
      <c r="Q32" s="20">
        <f t="shared" si="5"/>
        <v>-0.2732604889102373</v>
      </c>
      <c r="R32" s="20">
        <f t="shared" si="6"/>
        <v>-5.949498996521605</v>
      </c>
      <c r="S32" s="20">
        <f t="shared" si="11"/>
        <v>10.652161373175922</v>
      </c>
      <c r="T32" s="1">
        <f t="shared" si="12"/>
        <v>0</v>
      </c>
    </row>
    <row r="33" spans="1:20" x14ac:dyDescent="0.25">
      <c r="A33" s="20">
        <f t="shared" si="7"/>
        <v>0.28000000000000008</v>
      </c>
      <c r="C33" s="20">
        <f t="shared" si="19"/>
        <v>71.082786177628549</v>
      </c>
      <c r="D33" s="20">
        <f t="shared" si="0"/>
        <v>1.0853399142249101</v>
      </c>
      <c r="E33" s="20">
        <f t="shared" si="1"/>
        <v>23.630305121378402</v>
      </c>
      <c r="F33" s="20">
        <f t="shared" si="2"/>
        <v>0.91168552794892443</v>
      </c>
      <c r="G33" s="20">
        <f t="shared" si="3"/>
        <v>19.849456301957858</v>
      </c>
      <c r="I33" s="20">
        <f t="shared" si="20"/>
        <v>0.57592163662386497</v>
      </c>
      <c r="K33" s="20">
        <f t="shared" si="8"/>
        <v>59.616473689029249</v>
      </c>
      <c r="L33" s="20">
        <f t="shared" si="21"/>
        <v>-1.406775745666426</v>
      </c>
      <c r="M33" s="20">
        <f t="shared" si="4"/>
        <v>-30.628690304080688</v>
      </c>
      <c r="N33" s="1">
        <f t="shared" si="9"/>
        <v>17.994310122206894</v>
      </c>
      <c r="P33" s="20">
        <f t="shared" si="10"/>
        <v>38.712253301244843</v>
      </c>
      <c r="Q33" s="20">
        <f t="shared" si="5"/>
        <v>-0.27703588995272749</v>
      </c>
      <c r="R33" s="20">
        <f t="shared" si="6"/>
        <v>-6.0316980176949162</v>
      </c>
      <c r="S33" s="20">
        <f t="shared" si="11"/>
        <v>11.039581381138195</v>
      </c>
      <c r="T33" s="1">
        <f t="shared" si="12"/>
        <v>0</v>
      </c>
    </row>
    <row r="34" spans="1:20" x14ac:dyDescent="0.25">
      <c r="A34" s="20">
        <f t="shared" si="7"/>
        <v>0.29000000000000009</v>
      </c>
      <c r="C34" s="20">
        <f t="shared" si="19"/>
        <v>70.793152479295102</v>
      </c>
      <c r="D34" s="20">
        <f t="shared" si="0"/>
        <v>1.0765132881640265</v>
      </c>
      <c r="E34" s="20">
        <f t="shared" si="1"/>
        <v>23.438129504986424</v>
      </c>
      <c r="F34" s="20">
        <f t="shared" si="2"/>
        <v>0.90427116205778224</v>
      </c>
      <c r="G34" s="20">
        <f t="shared" si="3"/>
        <v>19.688028784188596</v>
      </c>
      <c r="I34" s="20">
        <f t="shared" si="20"/>
        <v>0.57756330747385431</v>
      </c>
      <c r="K34" s="20">
        <f t="shared" si="8"/>
        <v>59.310186785988442</v>
      </c>
      <c r="L34" s="20">
        <f t="shared" si="21"/>
        <v>-1.3956157073290185</v>
      </c>
      <c r="M34" s="20">
        <f t="shared" si="4"/>
        <v>-30.385711023928121</v>
      </c>
      <c r="N34" s="1">
        <f t="shared" si="9"/>
        <v>18.588943424581981</v>
      </c>
      <c r="P34" s="20">
        <f t="shared" si="10"/>
        <v>38.651936321067893</v>
      </c>
      <c r="Q34" s="20">
        <f t="shared" si="5"/>
        <v>-0.28073811053803971</v>
      </c>
      <c r="R34" s="20">
        <f t="shared" si="6"/>
        <v>-6.1123037347711673</v>
      </c>
      <c r="S34" s="20">
        <f t="shared" si="11"/>
        <v>11.426402329249758</v>
      </c>
      <c r="T34" s="1">
        <f t="shared" si="12"/>
        <v>0</v>
      </c>
    </row>
    <row r="35" spans="1:20" x14ac:dyDescent="0.25">
      <c r="A35" s="20">
        <f t="shared" si="7"/>
        <v>0.3000000000000001</v>
      </c>
      <c r="C35" s="20">
        <f t="shared" si="19"/>
        <v>70.505303429615495</v>
      </c>
      <c r="D35" s="20">
        <f t="shared" si="0"/>
        <v>1.0677767554710604</v>
      </c>
      <c r="E35" s="20">
        <f t="shared" si="1"/>
        <v>23.247915425017645</v>
      </c>
      <c r="F35" s="20">
        <f t="shared" si="2"/>
        <v>0.89693247459569081</v>
      </c>
      <c r="G35" s="20">
        <f t="shared" si="3"/>
        <v>19.528248957014824</v>
      </c>
      <c r="I35" s="20">
        <f t="shared" si="20"/>
        <v>0.57919003044697703</v>
      </c>
      <c r="K35" s="20">
        <f t="shared" si="8"/>
        <v>59.006329675749164</v>
      </c>
      <c r="L35" s="20">
        <f t="shared" si="21"/>
        <v>-1.3845616735215711</v>
      </c>
      <c r="M35" s="20">
        <f t="shared" si="4"/>
        <v>-30.14503970218966</v>
      </c>
      <c r="N35" s="1">
        <f t="shared" si="9"/>
        <v>19.18052600689067</v>
      </c>
      <c r="P35" s="20">
        <f t="shared" si="10"/>
        <v>38.59081328372018</v>
      </c>
      <c r="Q35" s="20">
        <f t="shared" si="5"/>
        <v>-0.28436849945621029</v>
      </c>
      <c r="R35" s="20">
        <f t="shared" si="6"/>
        <v>-6.1913455139605986</v>
      </c>
      <c r="S35" s="20">
        <f t="shared" si="11"/>
        <v>11.812616077273699</v>
      </c>
      <c r="T35" s="1">
        <f t="shared" si="12"/>
        <v>0</v>
      </c>
    </row>
    <row r="36" spans="1:20" x14ac:dyDescent="0.25">
      <c r="A36" s="20">
        <f t="shared" si="7"/>
        <v>0.31000000000000011</v>
      </c>
      <c r="C36" s="20">
        <f t="shared" si="19"/>
        <v>70.219220824007564</v>
      </c>
      <c r="D36" s="20">
        <f t="shared" si="0"/>
        <v>1.0591291049073004</v>
      </c>
      <c r="E36" s="20">
        <f t="shared" si="1"/>
        <v>23.059636510065324</v>
      </c>
      <c r="F36" s="20">
        <f t="shared" si="2"/>
        <v>0.8896684481221323</v>
      </c>
      <c r="G36" s="20">
        <f t="shared" si="3"/>
        <v>19.370094668454872</v>
      </c>
      <c r="I36" s="20">
        <f t="shared" si="20"/>
        <v>0.58080186882003082</v>
      </c>
      <c r="K36" s="20">
        <f t="shared" si="8"/>
        <v>58.704879278727269</v>
      </c>
      <c r="L36" s="20">
        <f t="shared" si="21"/>
        <v>-1.3736124045617266</v>
      </c>
      <c r="M36" s="20">
        <f t="shared" si="4"/>
        <v>-29.906649348176064</v>
      </c>
      <c r="N36" s="1">
        <f t="shared" si="9"/>
        <v>19.769082051663052</v>
      </c>
      <c r="P36" s="20">
        <f t="shared" si="10"/>
        <v>38.528899828580577</v>
      </c>
      <c r="Q36" s="20">
        <f t="shared" si="5"/>
        <v>-0.28792837853014924</v>
      </c>
      <c r="R36" s="20">
        <f t="shared" si="6"/>
        <v>-6.2688521343381067</v>
      </c>
      <c r="S36" s="20">
        <f t="shared" si="11"/>
        <v>12.198214642835202</v>
      </c>
      <c r="T36" s="1">
        <f t="shared" si="12"/>
        <v>0</v>
      </c>
    </row>
    <row r="37" spans="1:20" x14ac:dyDescent="0.25">
      <c r="A37" s="20">
        <f t="shared" si="7"/>
        <v>0.32000000000000012</v>
      </c>
      <c r="C37" s="20">
        <f t="shared" si="19"/>
        <v>69.934886712127948</v>
      </c>
      <c r="D37" s="20">
        <f t="shared" si="0"/>
        <v>1.0505691458712141</v>
      </c>
      <c r="E37" s="20">
        <f t="shared" si="1"/>
        <v>22.873266838040802</v>
      </c>
      <c r="F37" s="20">
        <f t="shared" si="2"/>
        <v>0.88247808253181981</v>
      </c>
      <c r="G37" s="20">
        <f t="shared" si="3"/>
        <v>19.213544143954273</v>
      </c>
      <c r="I37" s="20">
        <f t="shared" si="20"/>
        <v>0.5823988849763323</v>
      </c>
      <c r="K37" s="20">
        <f t="shared" si="8"/>
        <v>58.405812785245509</v>
      </c>
      <c r="L37" s="20">
        <f t="shared" si="21"/>
        <v>-1.3627666781056833</v>
      </c>
      <c r="M37" s="20">
        <f t="shared" si="4"/>
        <v>-29.670513348697657</v>
      </c>
      <c r="N37" s="1">
        <f t="shared" si="9"/>
        <v>20.354635511982913</v>
      </c>
      <c r="P37" s="20">
        <f t="shared" si="10"/>
        <v>38.466211307237195</v>
      </c>
      <c r="Q37" s="20">
        <f t="shared" si="5"/>
        <v>-0.29141904322246132</v>
      </c>
      <c r="R37" s="20">
        <f t="shared" si="6"/>
        <v>-6.3448518010551123</v>
      </c>
      <c r="S37" s="20">
        <f t="shared" si="11"/>
        <v>12.58319019851429</v>
      </c>
      <c r="T37" s="1">
        <f t="shared" si="12"/>
        <v>0</v>
      </c>
    </row>
    <row r="38" spans="1:20" x14ac:dyDescent="0.25">
      <c r="A38" s="20">
        <f t="shared" si="7"/>
        <v>0.33000000000000013</v>
      </c>
      <c r="C38" s="20">
        <f t="shared" si="19"/>
        <v>69.652283393506011</v>
      </c>
      <c r="D38" s="20">
        <f t="shared" si="0"/>
        <v>1.0420957079760349</v>
      </c>
      <c r="E38" s="20">
        <f t="shared" si="1"/>
        <v>22.688780926976595</v>
      </c>
      <c r="F38" s="20">
        <f t="shared" si="2"/>
        <v>0.87536039469986937</v>
      </c>
      <c r="G38" s="20">
        <f t="shared" si="3"/>
        <v>19.05857597866034</v>
      </c>
      <c r="I38" s="20">
        <f t="shared" si="20"/>
        <v>0.58398114041563332</v>
      </c>
      <c r="K38" s="20">
        <f t="shared" si="8"/>
        <v>58.109107651758535</v>
      </c>
      <c r="L38" s="20">
        <f t="shared" si="21"/>
        <v>-1.352023288869491</v>
      </c>
      <c r="M38" s="20">
        <f t="shared" si="4"/>
        <v>-29.436605461996322</v>
      </c>
      <c r="N38" s="1">
        <f t="shared" si="9"/>
        <v>20.937210114167932</v>
      </c>
      <c r="P38" s="20">
        <f t="shared" si="10"/>
        <v>38.402762789226642</v>
      </c>
      <c r="Q38" s="20">
        <f t="shared" si="5"/>
        <v>-0.29484176322690697</v>
      </c>
      <c r="R38" s="20">
        <f t="shared" si="6"/>
        <v>-6.419372158217004</v>
      </c>
      <c r="S38" s="20">
        <f t="shared" si="11"/>
        <v>12.967535068996609</v>
      </c>
      <c r="T38" s="1">
        <f t="shared" si="12"/>
        <v>0</v>
      </c>
    </row>
    <row r="39" spans="1:20" x14ac:dyDescent="0.25">
      <c r="A39" s="20">
        <f t="shared" si="7"/>
        <v>0.34000000000000014</v>
      </c>
      <c r="C39" s="20">
        <f t="shared" si="19"/>
        <v>69.371393413268351</v>
      </c>
      <c r="D39" s="20">
        <f t="shared" si="0"/>
        <v>1.0337076406374375</v>
      </c>
      <c r="E39" s="20">
        <f t="shared" si="1"/>
        <v>22.506153726049153</v>
      </c>
      <c r="F39" s="20">
        <f t="shared" si="2"/>
        <v>0.86831441813544741</v>
      </c>
      <c r="G39" s="20">
        <f t="shared" si="3"/>
        <v>18.905169129881287</v>
      </c>
      <c r="I39" s="20">
        <f t="shared" si="20"/>
        <v>0.58554869576385316</v>
      </c>
      <c r="K39" s="20">
        <f t="shared" si="8"/>
        <v>57.814741597138571</v>
      </c>
      <c r="L39" s="20">
        <f t="shared" si="21"/>
        <v>-1.341381048355311</v>
      </c>
      <c r="M39" s="20">
        <f t="shared" si="4"/>
        <v>-29.204899811785566</v>
      </c>
      <c r="N39" s="1">
        <f t="shared" si="9"/>
        <v>21.516829360412416</v>
      </c>
      <c r="P39" s="20">
        <f t="shared" si="10"/>
        <v>38.338569067644471</v>
      </c>
      <c r="Q39" s="20">
        <f t="shared" si="5"/>
        <v>-0.29819778304492833</v>
      </c>
      <c r="R39" s="20">
        <f t="shared" si="6"/>
        <v>-6.4924403014354093</v>
      </c>
      <c r="S39" s="20">
        <f t="shared" si="11"/>
        <v>13.351241728280964</v>
      </c>
      <c r="T39" s="1">
        <f t="shared" si="12"/>
        <v>0</v>
      </c>
    </row>
    <row r="40" spans="1:20" x14ac:dyDescent="0.25">
      <c r="A40" s="20">
        <f t="shared" si="7"/>
        <v>0.35000000000000014</v>
      </c>
      <c r="C40" s="20">
        <f t="shared" si="19"/>
        <v>69.09219955795156</v>
      </c>
      <c r="D40" s="20">
        <f t="shared" si="0"/>
        <v>1.025403812671023</v>
      </c>
      <c r="E40" s="20">
        <f t="shared" si="1"/>
        <v>22.32536060681522</v>
      </c>
      <c r="F40" s="20">
        <f t="shared" si="2"/>
        <v>0.86133920264365937</v>
      </c>
      <c r="G40" s="20">
        <f t="shared" si="3"/>
        <v>18.753302909724784</v>
      </c>
      <c r="I40" s="20">
        <f t="shared" si="20"/>
        <v>0.58710161078263035</v>
      </c>
      <c r="K40" s="20">
        <f t="shared" si="8"/>
        <v>57.522692599020715</v>
      </c>
      <c r="L40" s="20">
        <f t="shared" si="21"/>
        <v>-1.3308387845825367</v>
      </c>
      <c r="M40" s="20">
        <f t="shared" si="4"/>
        <v>-28.975370881396401</v>
      </c>
      <c r="N40" s="1">
        <f t="shared" si="9"/>
        <v>22.093516531393213</v>
      </c>
      <c r="P40" s="20">
        <f t="shared" si="10"/>
        <v>38.273644664630119</v>
      </c>
      <c r="Q40" s="20">
        <f t="shared" si="5"/>
        <v>-0.30148832254766916</v>
      </c>
      <c r="R40" s="20">
        <f t="shared" si="6"/>
        <v>-6.5640827900646457</v>
      </c>
      <c r="S40" s="20">
        <f t="shared" si="11"/>
        <v>13.734302796942337</v>
      </c>
      <c r="T40" s="1">
        <f t="shared" si="12"/>
        <v>0</v>
      </c>
    </row>
    <row r="41" spans="1:20" x14ac:dyDescent="0.25">
      <c r="A41" s="20">
        <f t="shared" si="7"/>
        <v>0.36000000000000015</v>
      </c>
      <c r="C41" s="20">
        <f t="shared" si="19"/>
        <v>68.814684851401267</v>
      </c>
      <c r="D41" s="20">
        <f t="shared" si="0"/>
        <v>1.0171831118993555</v>
      </c>
      <c r="E41" s="20">
        <f t="shared" si="1"/>
        <v>22.146377354656117</v>
      </c>
      <c r="F41" s="20">
        <f t="shared" si="2"/>
        <v>0.85443381399545859</v>
      </c>
      <c r="G41" s="20">
        <f t="shared" si="3"/>
        <v>18.602956977911138</v>
      </c>
      <c r="I41" s="20">
        <f t="shared" si="20"/>
        <v>0.58863994437869882</v>
      </c>
      <c r="K41" s="20">
        <f t="shared" si="8"/>
        <v>57.232938890206754</v>
      </c>
      <c r="L41" s="20">
        <f t="shared" si="21"/>
        <v>-1.320395341823698</v>
      </c>
      <c r="M41" s="20">
        <f t="shared" si="4"/>
        <v>-28.747993508027392</v>
      </c>
      <c r="N41" s="1">
        <f t="shared" si="9"/>
        <v>22.667294688839352</v>
      </c>
      <c r="P41" s="20">
        <f t="shared" si="10"/>
        <v>38.208003836729475</v>
      </c>
      <c r="Q41" s="20">
        <f t="shared" si="5"/>
        <v>-0.30471457752389214</v>
      </c>
      <c r="R41" s="20">
        <f t="shared" si="6"/>
        <v>-6.6343256591311155</v>
      </c>
      <c r="S41" s="20">
        <f t="shared" si="11"/>
        <v>14.116711039449136</v>
      </c>
      <c r="T41" s="1">
        <f t="shared" si="12"/>
        <v>0</v>
      </c>
    </row>
    <row r="42" spans="1:20" x14ac:dyDescent="0.25">
      <c r="A42" s="20">
        <f t="shared" si="7"/>
        <v>0.37000000000000016</v>
      </c>
      <c r="C42" s="20">
        <f t="shared" si="19"/>
        <v>68.538832550755203</v>
      </c>
      <c r="D42" s="20">
        <f t="shared" si="0"/>
        <v>1.0090444447682785</v>
      </c>
      <c r="E42" s="20">
        <f t="shared" si="1"/>
        <v>21.969180160424091</v>
      </c>
      <c r="F42" s="20">
        <f t="shared" si="2"/>
        <v>0.84759733360535394</v>
      </c>
      <c r="G42" s="20">
        <f t="shared" si="3"/>
        <v>18.454111334756238</v>
      </c>
      <c r="I42" s="20">
        <f t="shared" si="20"/>
        <v>0.59016375461309001</v>
      </c>
      <c r="K42" s="20">
        <f t="shared" si="8"/>
        <v>56.945458955126483</v>
      </c>
      <c r="L42" s="20">
        <f t="shared" si="21"/>
        <v>-1.3100495803450418</v>
      </c>
      <c r="M42" s="20">
        <f t="shared" si="4"/>
        <v>-28.522742877096491</v>
      </c>
      <c r="N42" s="1">
        <f t="shared" si="9"/>
        <v>23.238186678066015</v>
      </c>
      <c r="P42" s="20">
        <f t="shared" si="10"/>
        <v>38.141660580138165</v>
      </c>
      <c r="Q42" s="20">
        <f t="shared" si="5"/>
        <v>-0.30787772021418808</v>
      </c>
      <c r="R42" s="20">
        <f t="shared" si="6"/>
        <v>-6.7031944309642517</v>
      </c>
      <c r="S42" s="20">
        <f t="shared" si="11"/>
        <v>14.498459361533476</v>
      </c>
      <c r="T42" s="1">
        <f t="shared" si="12"/>
        <v>0</v>
      </c>
    </row>
    <row r="43" spans="1:20" x14ac:dyDescent="0.25">
      <c r="A43" s="20">
        <f t="shared" si="7"/>
        <v>0.38000000000000017</v>
      </c>
      <c r="C43" s="20">
        <f t="shared" si="19"/>
        <v>68.264626142508575</v>
      </c>
      <c r="D43" s="20">
        <f t="shared" si="0"/>
        <v>1.0009867359722766</v>
      </c>
      <c r="E43" s="20">
        <f t="shared" si="1"/>
        <v>21.79374561228558</v>
      </c>
      <c r="F43" s="20">
        <f t="shared" si="2"/>
        <v>0.84082885821671227</v>
      </c>
      <c r="G43" s="20">
        <f t="shared" si="3"/>
        <v>18.306746314319884</v>
      </c>
      <c r="I43" s="20">
        <f t="shared" si="20"/>
        <v>0.59167309871016727</v>
      </c>
      <c r="K43" s="20">
        <f t="shared" si="8"/>
        <v>56.660231526355517</v>
      </c>
      <c r="L43" s="20">
        <f t="shared" si="21"/>
        <v>-1.2998003761517192</v>
      </c>
      <c r="M43" s="20">
        <f t="shared" si="4"/>
        <v>-28.299594516693212</v>
      </c>
      <c r="N43" s="1">
        <f t="shared" si="9"/>
        <v>23.806215130473422</v>
      </c>
      <c r="P43" s="20">
        <f t="shared" si="10"/>
        <v>38.074628635828525</v>
      </c>
      <c r="Q43" s="20">
        <f t="shared" si="5"/>
        <v>-0.31097889983186461</v>
      </c>
      <c r="R43" s="20">
        <f t="shared" si="6"/>
        <v>-6.77071412653744</v>
      </c>
      <c r="S43" s="20">
        <f t="shared" si="11"/>
        <v>14.87954080761331</v>
      </c>
      <c r="T43" s="1">
        <f t="shared" si="12"/>
        <v>0</v>
      </c>
    </row>
    <row r="44" spans="1:20" x14ac:dyDescent="0.25">
      <c r="A44" s="20">
        <f t="shared" si="7"/>
        <v>0.39000000000000018</v>
      </c>
      <c r="C44" s="20">
        <f t="shared" si="19"/>
        <v>67.992049338659612</v>
      </c>
      <c r="D44" s="20">
        <f t="shared" si="0"/>
        <v>0.99300892808862806</v>
      </c>
      <c r="E44" s="20">
        <f t="shared" si="1"/>
        <v>21.620050687755892</v>
      </c>
      <c r="F44" s="20">
        <f t="shared" si="2"/>
        <v>0.83412749959444754</v>
      </c>
      <c r="G44" s="20">
        <f t="shared" si="3"/>
        <v>18.160842577714948</v>
      </c>
      <c r="I44" s="20">
        <f t="shared" si="20"/>
        <v>0.59316803306649146</v>
      </c>
      <c r="K44" s="20">
        <f t="shared" si="8"/>
        <v>56.377235581188586</v>
      </c>
      <c r="L44" s="20">
        <f t="shared" si="21"/>
        <v>-1.2896466207374826</v>
      </c>
      <c r="M44" s="20">
        <f t="shared" si="4"/>
        <v>-28.07852429212895</v>
      </c>
      <c r="N44" s="1">
        <f t="shared" si="9"/>
        <v>24.371402466011144</v>
      </c>
      <c r="P44" s="20">
        <f t="shared" si="10"/>
        <v>38.006921494563151</v>
      </c>
      <c r="Q44" s="20">
        <f t="shared" si="5"/>
        <v>-0.31401924307087553</v>
      </c>
      <c r="R44" s="20">
        <f t="shared" si="6"/>
        <v>-6.836909276526792</v>
      </c>
      <c r="S44" s="20">
        <f t="shared" si="11"/>
        <v>15.259948558265268</v>
      </c>
      <c r="T44" s="1">
        <f t="shared" si="12"/>
        <v>0</v>
      </c>
    </row>
    <row r="45" spans="1:20" x14ac:dyDescent="0.25">
      <c r="A45" s="20">
        <f t="shared" si="7"/>
        <v>0.40000000000000019</v>
      </c>
      <c r="C45" s="20">
        <f t="shared" si="19"/>
        <v>67.721086072933389</v>
      </c>
      <c r="D45" s="20">
        <f t="shared" si="0"/>
        <v>0.98510998122011617</v>
      </c>
      <c r="E45" s="20">
        <f t="shared" si="1"/>
        <v>21.448072745920232</v>
      </c>
      <c r="F45" s="20">
        <f t="shared" si="2"/>
        <v>0.82749238422489757</v>
      </c>
      <c r="G45" s="20">
        <f t="shared" si="3"/>
        <v>18.016381106572993</v>
      </c>
      <c r="I45" s="20">
        <f t="shared" si="20"/>
        <v>0.59464861325952612</v>
      </c>
      <c r="K45" s="20">
        <f t="shared" si="8"/>
        <v>56.096450338267296</v>
      </c>
      <c r="L45" s="20">
        <f t="shared" si="21"/>
        <v>-1.2795872208388093</v>
      </c>
      <c r="M45" s="20">
        <f t="shared" si="4"/>
        <v>-27.859508400583699</v>
      </c>
      <c r="N45" s="1">
        <f t="shared" si="9"/>
        <v>24.933770895608422</v>
      </c>
      <c r="P45" s="20">
        <f t="shared" si="10"/>
        <v>37.938552401797885</v>
      </c>
      <c r="Q45" s="20">
        <f t="shared" si="5"/>
        <v>-0.3169998546011637</v>
      </c>
      <c r="R45" s="20">
        <f t="shared" si="6"/>
        <v>-6.9018039320958788</v>
      </c>
      <c r="S45" s="20">
        <f t="shared" si="11"/>
        <v>15.639675927747074</v>
      </c>
      <c r="T45" s="1">
        <f t="shared" si="12"/>
        <v>0</v>
      </c>
    </row>
    <row r="46" spans="1:20" x14ac:dyDescent="0.25">
      <c r="A46" s="20">
        <f t="shared" si="7"/>
        <v>0.4100000000000002</v>
      </c>
      <c r="C46" s="20">
        <f t="shared" si="19"/>
        <v>67.451720497082235</v>
      </c>
      <c r="D46" s="20">
        <f t="shared" si="0"/>
        <v>0.97728887264607334</v>
      </c>
      <c r="E46" s="20">
        <f t="shared" si="1"/>
        <v>21.277789519836126</v>
      </c>
      <c r="F46" s="20">
        <f t="shared" si="2"/>
        <v>0.82092265302270162</v>
      </c>
      <c r="G46" s="20">
        <f t="shared" si="3"/>
        <v>17.873343196662347</v>
      </c>
      <c r="I46" s="20">
        <f t="shared" si="20"/>
        <v>0.59611489405618079</v>
      </c>
      <c r="K46" s="20">
        <f t="shared" si="8"/>
        <v>55.81785525426146</v>
      </c>
      <c r="L46" s="20">
        <f t="shared" si="21"/>
        <v>-1.2696210981933702</v>
      </c>
      <c r="M46" s="20">
        <f t="shared" si="4"/>
        <v>-27.642523365847381</v>
      </c>
      <c r="N46" s="1">
        <f t="shared" si="9"/>
        <v>25.493342423571068</v>
      </c>
      <c r="P46" s="20">
        <f t="shared" si="10"/>
        <v>37.869534362476927</v>
      </c>
      <c r="Q46" s="20">
        <f t="shared" si="5"/>
        <v>-0.31992181755175225</v>
      </c>
      <c r="R46" s="20">
        <f t="shared" si="6"/>
        <v>-6.9654216754137224</v>
      </c>
      <c r="S46" s="20">
        <f t="shared" si="11"/>
        <v>16.018716361568451</v>
      </c>
      <c r="T46" s="1">
        <f t="shared" si="12"/>
        <v>0</v>
      </c>
    </row>
    <row r="47" spans="1:20" x14ac:dyDescent="0.25">
      <c r="A47" s="20">
        <f t="shared" si="7"/>
        <v>0.42000000000000021</v>
      </c>
      <c r="C47" s="20">
        <f t="shared" si="19"/>
        <v>67.183936977260771</v>
      </c>
      <c r="D47" s="20">
        <f t="shared" si="0"/>
        <v>0.96954459648153235</v>
      </c>
      <c r="E47" s="20">
        <f t="shared" si="1"/>
        <v>21.109179109112397</v>
      </c>
      <c r="F47" s="20">
        <f t="shared" si="2"/>
        <v>0.8144174610444872</v>
      </c>
      <c r="G47" s="20">
        <f t="shared" si="3"/>
        <v>17.731710451654415</v>
      </c>
      <c r="I47" s="20">
        <f t="shared" si="20"/>
        <v>0.5975669294211986</v>
      </c>
      <c r="K47" s="20">
        <f t="shared" si="8"/>
        <v>55.541430020602988</v>
      </c>
      <c r="L47" s="20">
        <f t="shared" si="21"/>
        <v>-1.2597471893027636</v>
      </c>
      <c r="M47" s="20">
        <f t="shared" si="4"/>
        <v>-27.427546033154009</v>
      </c>
      <c r="N47" s="1">
        <f t="shared" si="9"/>
        <v>26.050138849945391</v>
      </c>
      <c r="P47" s="20">
        <f t="shared" si="10"/>
        <v>37.799880145722788</v>
      </c>
      <c r="Q47" s="20">
        <f t="shared" si="5"/>
        <v>-0.32278619398193148</v>
      </c>
      <c r="R47" s="20">
        <f t="shared" si="6"/>
        <v>-7.0277856299135966</v>
      </c>
      <c r="S47" s="20">
        <f t="shared" si="11"/>
        <v>16.397063434109452</v>
      </c>
      <c r="T47" s="1">
        <f t="shared" si="12"/>
        <v>0</v>
      </c>
    </row>
    <row r="48" spans="1:20" x14ac:dyDescent="0.25">
      <c r="A48" s="20">
        <f t="shared" si="7"/>
        <v>0.43000000000000022</v>
      </c>
      <c r="C48" s="20">
        <f t="shared" si="19"/>
        <v>66.917720090473907</v>
      </c>
      <c r="D48" s="20">
        <f t="shared" si="0"/>
        <v>0.96187616334427128</v>
      </c>
      <c r="E48" s="20">
        <f t="shared" si="1"/>
        <v>20.942219972659945</v>
      </c>
      <c r="F48" s="20">
        <f t="shared" si="2"/>
        <v>0.8079759772091879</v>
      </c>
      <c r="G48" s="20">
        <f t="shared" si="3"/>
        <v>17.591464777034354</v>
      </c>
      <c r="I48" s="20">
        <f t="shared" si="20"/>
        <v>0.59900477252538953</v>
      </c>
      <c r="K48" s="20">
        <f t="shared" si="8"/>
        <v>55.26715456027145</v>
      </c>
      <c r="L48" s="20">
        <f t="shared" si="21"/>
        <v>-1.2499644451994278</v>
      </c>
      <c r="M48" s="20">
        <f t="shared" si="4"/>
        <v>-27.214553564106854</v>
      </c>
      <c r="N48" s="1">
        <f t="shared" si="9"/>
        <v>26.604181772849763</v>
      </c>
      <c r="P48" s="20">
        <f t="shared" si="10"/>
        <v>37.729602289423653</v>
      </c>
      <c r="Q48" s="20">
        <f t="shared" si="5"/>
        <v>-0.3255940253408644</v>
      </c>
      <c r="R48" s="20">
        <f t="shared" si="6"/>
        <v>-7.0889184702996824</v>
      </c>
      <c r="S48" s="20">
        <f t="shared" si="11"/>
        <v>16.774710846285185</v>
      </c>
      <c r="T48" s="1">
        <f t="shared" si="12"/>
        <v>0</v>
      </c>
    </row>
    <row r="49" spans="1:20" x14ac:dyDescent="0.25">
      <c r="A49" s="20">
        <f t="shared" si="7"/>
        <v>0.44000000000000022</v>
      </c>
      <c r="C49" s="20">
        <f t="shared" si="19"/>
        <v>66.653054621096217</v>
      </c>
      <c r="D49" s="20">
        <f t="shared" si="0"/>
        <v>0.95428260002954768</v>
      </c>
      <c r="E49" s="20">
        <f t="shared" si="1"/>
        <v>20.776890921610008</v>
      </c>
      <c r="F49" s="20">
        <f t="shared" si="2"/>
        <v>0.80159738402482006</v>
      </c>
      <c r="G49" s="20">
        <f t="shared" si="3"/>
        <v>17.452588374152409</v>
      </c>
      <c r="I49" s="20">
        <f t="shared" si="20"/>
        <v>0.60042847575371328</v>
      </c>
      <c r="K49" s="20">
        <f t="shared" si="8"/>
        <v>54.995009024630384</v>
      </c>
      <c r="L49" s="20">
        <f t="shared" si="21"/>
        <v>-1.2402718312176642</v>
      </c>
      <c r="M49" s="20">
        <f t="shared" si="4"/>
        <v>-27.003523431693104</v>
      </c>
      <c r="N49" s="1">
        <f t="shared" si="9"/>
        <v>27.155492590774273</v>
      </c>
      <c r="P49" s="20">
        <f t="shared" si="10"/>
        <v>37.658713104720654</v>
      </c>
      <c r="Q49" s="20">
        <f t="shared" si="5"/>
        <v>-0.32834633291592991</v>
      </c>
      <c r="R49" s="20">
        <f t="shared" si="6"/>
        <v>-7.1488424323085109</v>
      </c>
      <c r="S49" s="20">
        <f t="shared" si="11"/>
        <v>17.151652423255904</v>
      </c>
      <c r="T49" s="1">
        <f t="shared" si="12"/>
        <v>0</v>
      </c>
    </row>
    <row r="50" spans="1:20" x14ac:dyDescent="0.25">
      <c r="A50" s="20">
        <f t="shared" si="7"/>
        <v>0.45000000000000023</v>
      </c>
      <c r="C50" s="20">
        <f t="shared" si="19"/>
        <v>66.389925557460771</v>
      </c>
      <c r="D50" s="20">
        <f t="shared" si="0"/>
        <v>0.94676294919230986</v>
      </c>
      <c r="E50" s="20">
        <f t="shared" si="1"/>
        <v>20.613171112395165</v>
      </c>
      <c r="F50" s="20">
        <f t="shared" si="2"/>
        <v>0.79528087732154029</v>
      </c>
      <c r="G50" s="20">
        <f t="shared" si="3"/>
        <v>17.31506373441194</v>
      </c>
      <c r="I50" s="20">
        <f t="shared" si="20"/>
        <v>0.60183809071321359</v>
      </c>
      <c r="K50" s="20">
        <f t="shared" si="8"/>
        <v>54.724973790313456</v>
      </c>
      <c r="L50" s="20">
        <f t="shared" si="21"/>
        <v>-1.2306683267686798</v>
      </c>
      <c r="M50" s="20">
        <f t="shared" si="4"/>
        <v>-26.794433415386017</v>
      </c>
      <c r="N50" s="1">
        <f t="shared" si="9"/>
        <v>27.704092504848994</v>
      </c>
      <c r="P50" s="20">
        <f t="shared" si="10"/>
        <v>37.587224680397568</v>
      </c>
      <c r="Q50" s="20">
        <f t="shared" si="5"/>
        <v>-0.33104411827010988</v>
      </c>
      <c r="R50" s="20">
        <f t="shared" si="6"/>
        <v>-7.2075793222318723</v>
      </c>
      <c r="S50" s="20">
        <f t="shared" si="11"/>
        <v>17.527882112181494</v>
      </c>
      <c r="T50" s="1">
        <f t="shared" si="12"/>
        <v>0</v>
      </c>
    </row>
    <row r="51" spans="1:20" x14ac:dyDescent="0.25">
      <c r="A51" s="20">
        <f t="shared" si="7"/>
        <v>0.46000000000000024</v>
      </c>
      <c r="C51" s="20">
        <f t="shared" si="19"/>
        <v>66.128318088516053</v>
      </c>
      <c r="D51" s="20">
        <f t="shared" si="0"/>
        <v>0.93931626903669974</v>
      </c>
      <c r="E51" s="20">
        <f t="shared" si="1"/>
        <v>20.45104003998911</v>
      </c>
      <c r="F51" s="20">
        <f t="shared" si="2"/>
        <v>0.7890256659908278</v>
      </c>
      <c r="G51" s="20">
        <f t="shared" si="3"/>
        <v>17.17887363359085</v>
      </c>
      <c r="I51" s="20">
        <f t="shared" si="20"/>
        <v>0.60323366824080837</v>
      </c>
      <c r="K51" s="20">
        <f t="shared" si="8"/>
        <v>54.457029456159596</v>
      </c>
      <c r="L51" s="20">
        <f t="shared" si="21"/>
        <v>-1.221152925119589</v>
      </c>
      <c r="M51" s="20">
        <f t="shared" si="4"/>
        <v>-26.58726159633331</v>
      </c>
      <c r="N51" s="1">
        <f t="shared" si="9"/>
        <v>28.250002521081356</v>
      </c>
      <c r="P51" s="20">
        <f t="shared" si="10"/>
        <v>37.515148887175251</v>
      </c>
      <c r="Q51" s="20">
        <f t="shared" si="5"/>
        <v>-0.33368836366872207</v>
      </c>
      <c r="R51" s="20">
        <f t="shared" si="6"/>
        <v>-7.2651505262077523</v>
      </c>
      <c r="S51" s="20">
        <f t="shared" si="11"/>
        <v>17.903393980019359</v>
      </c>
      <c r="T51" s="1">
        <f t="shared" si="12"/>
        <v>0</v>
      </c>
    </row>
    <row r="52" spans="1:20" x14ac:dyDescent="0.25">
      <c r="A52" s="20">
        <f t="shared" si="7"/>
        <v>0.47000000000000025</v>
      </c>
      <c r="C52" s="20">
        <f t="shared" si="19"/>
        <v>65.868217600549386</v>
      </c>
      <c r="D52" s="20">
        <f t="shared" si="0"/>
        <v>0.93194163301264954</v>
      </c>
      <c r="E52" s="20">
        <f t="shared" si="1"/>
        <v>20.290477531300883</v>
      </c>
      <c r="F52" s="20">
        <f t="shared" si="2"/>
        <v>0.78283097173062555</v>
      </c>
      <c r="G52" s="20">
        <f t="shared" si="3"/>
        <v>17.044001126292741</v>
      </c>
      <c r="I52" s="20">
        <f t="shared" si="20"/>
        <v>0.60461525841093589</v>
      </c>
      <c r="K52" s="20">
        <f t="shared" si="8"/>
        <v>54.191156840196264</v>
      </c>
      <c r="L52" s="20">
        <f t="shared" si="21"/>
        <v>-1.2117246331762876</v>
      </c>
      <c r="M52" s="20">
        <f t="shared" si="4"/>
        <v>-26.38198635262982</v>
      </c>
      <c r="N52" s="1">
        <f t="shared" si="9"/>
        <v>28.793243452563136</v>
      </c>
      <c r="P52" s="20">
        <f t="shared" si="10"/>
        <v>37.442497381913171</v>
      </c>
      <c r="Q52" s="20">
        <f t="shared" si="5"/>
        <v>-0.33628003249578303</v>
      </c>
      <c r="R52" s="20">
        <f t="shared" si="6"/>
        <v>-7.3215770192855008</v>
      </c>
      <c r="S52" s="20">
        <f t="shared" si="11"/>
        <v>18.2781822113648</v>
      </c>
      <c r="T52" s="1">
        <f t="shared" si="12"/>
        <v>0</v>
      </c>
    </row>
    <row r="53" spans="1:20" x14ac:dyDescent="0.25">
      <c r="A53" s="20">
        <f t="shared" si="7"/>
        <v>0.48000000000000026</v>
      </c>
      <c r="C53" s="20">
        <f t="shared" si="19"/>
        <v>65.609609673975157</v>
      </c>
      <c r="D53" s="20">
        <f t="shared" si="0"/>
        <v>0.92463812951939017</v>
      </c>
      <c r="E53" s="20">
        <f t="shared" si="1"/>
        <v>20.131463738719578</v>
      </c>
      <c r="F53" s="20">
        <f t="shared" si="2"/>
        <v>0.77669602879628774</v>
      </c>
      <c r="G53" s="20">
        <f t="shared" si="3"/>
        <v>16.910429540524444</v>
      </c>
      <c r="I53" s="20">
        <f t="shared" si="20"/>
        <v>0.60598291054306253</v>
      </c>
      <c r="K53" s="20">
        <f t="shared" si="8"/>
        <v>53.927336976669963</v>
      </c>
      <c r="L53" s="20">
        <f t="shared" si="21"/>
        <v>-1.2023824712701361</v>
      </c>
      <c r="M53" s="20">
        <f t="shared" si="4"/>
        <v>-26.178586354673115</v>
      </c>
      <c r="N53" s="1">
        <f t="shared" si="9"/>
        <v>29.333835921647466</v>
      </c>
      <c r="P53" s="20">
        <f t="shared" si="10"/>
        <v>37.369281611720318</v>
      </c>
      <c r="Q53" s="20">
        <f t="shared" si="5"/>
        <v>-0.33882006966028794</v>
      </c>
      <c r="R53" s="20">
        <f t="shared" si="6"/>
        <v>-7.3768793742714553</v>
      </c>
      <c r="S53" s="20">
        <f t="shared" si="11"/>
        <v>18.652241106332969</v>
      </c>
      <c r="T53" s="1">
        <f t="shared" si="12"/>
        <v>0</v>
      </c>
    </row>
    <row r="54" spans="1:20" x14ac:dyDescent="0.25">
      <c r="A54" s="20">
        <f t="shared" si="7"/>
        <v>0.49000000000000027</v>
      </c>
      <c r="C54" s="20">
        <f t="shared" si="19"/>
        <v>65.352480080186496</v>
      </c>
      <c r="D54" s="20">
        <f t="shared" si="0"/>
        <v>0.91740486161568813</v>
      </c>
      <c r="E54" s="20">
        <f t="shared" si="1"/>
        <v>19.973979133805532</v>
      </c>
      <c r="F54" s="20">
        <f t="shared" si="2"/>
        <v>0.77062008375717805</v>
      </c>
      <c r="G54" s="20">
        <f t="shared" si="3"/>
        <v>16.778142472396649</v>
      </c>
      <c r="I54" s="20">
        <f t="shared" si="20"/>
        <v>0.60733667320905305</v>
      </c>
      <c r="K54" s="20">
        <f t="shared" si="8"/>
        <v>53.665551113123229</v>
      </c>
      <c r="L54" s="20">
        <f t="shared" si="21"/>
        <v>-1.1931254729483671</v>
      </c>
      <c r="M54" s="20">
        <f t="shared" si="4"/>
        <v>-25.977040560600198</v>
      </c>
      <c r="N54" s="1">
        <f t="shared" si="9"/>
        <v>29.871800362096433</v>
      </c>
      <c r="P54" s="20">
        <f t="shared" si="10"/>
        <v>37.295512817977603</v>
      </c>
      <c r="Q54" s="20">
        <f t="shared" si="5"/>
        <v>-0.34130940199267429</v>
      </c>
      <c r="R54" s="20">
        <f t="shared" si="6"/>
        <v>-7.4310777703608597</v>
      </c>
      <c r="S54" s="20">
        <f t="shared" si="11"/>
        <v>19.025565078481456</v>
      </c>
      <c r="T54" s="1">
        <f t="shared" si="12"/>
        <v>0</v>
      </c>
    </row>
    <row r="55" spans="1:20" x14ac:dyDescent="0.25">
      <c r="A55" s="20">
        <f t="shared" si="7"/>
        <v>0.50000000000000022</v>
      </c>
      <c r="C55" s="20">
        <f t="shared" si="19"/>
        <v>65.096814778469124</v>
      </c>
      <c r="D55" s="20">
        <f t="shared" si="0"/>
        <v>0.91024094673664591</v>
      </c>
      <c r="E55" s="20">
        <f t="shared" si="1"/>
        <v>19.818004501124449</v>
      </c>
      <c r="F55" s="20">
        <f t="shared" si="2"/>
        <v>0.7646023952587826</v>
      </c>
      <c r="G55" s="20">
        <f t="shared" si="3"/>
        <v>16.647123780944536</v>
      </c>
      <c r="I55" s="20">
        <f t="shared" si="20"/>
        <v>0.60867659424040599</v>
      </c>
      <c r="K55" s="20">
        <f t="shared" si="8"/>
        <v>53.405780707517224</v>
      </c>
      <c r="L55" s="20">
        <f t="shared" si="21"/>
        <v>-1.1839526847681694</v>
      </c>
      <c r="M55" s="20">
        <f t="shared" si="4"/>
        <v>-25.777328211804257</v>
      </c>
      <c r="N55" s="1">
        <f t="shared" si="9"/>
        <v>30.407157021199637</v>
      </c>
      <c r="P55" s="20">
        <f t="shared" si="10"/>
        <v>37.221202040273994</v>
      </c>
      <c r="Q55" s="20">
        <f t="shared" si="5"/>
        <v>-0.34374893863173855</v>
      </c>
      <c r="R55" s="20">
        <f t="shared" si="6"/>
        <v>-7.4841920015619108</v>
      </c>
      <c r="S55" s="20">
        <f t="shared" si="11"/>
        <v>19.398148652772715</v>
      </c>
      <c r="T55" s="1">
        <f t="shared" si="12"/>
        <v>0</v>
      </c>
    </row>
    <row r="56" spans="1:20" x14ac:dyDescent="0.25">
      <c r="A56" s="20">
        <f t="shared" si="7"/>
        <v>0.51000000000000023</v>
      </c>
      <c r="C56" s="20">
        <f t="shared" si="19"/>
        <v>64.842599912975473</v>
      </c>
      <c r="D56" s="20">
        <f t="shared" si="0"/>
        <v>0.90314551641688112</v>
      </c>
      <c r="E56" s="20">
        <f t="shared" si="1"/>
        <v>19.663520932220361</v>
      </c>
      <c r="F56" s="20">
        <f t="shared" si="2"/>
        <v>0.75864223379018014</v>
      </c>
      <c r="G56" s="20">
        <f t="shared" si="3"/>
        <v>16.517357583065102</v>
      </c>
      <c r="I56" s="20">
        <f t="shared" si="20"/>
        <v>0.61000272073535655</v>
      </c>
      <c r="K56" s="20">
        <f t="shared" si="8"/>
        <v>53.148007425399179</v>
      </c>
      <c r="L56" s="20">
        <f t="shared" si="21"/>
        <v>-1.1748631660943509</v>
      </c>
      <c r="M56" s="20">
        <f t="shared" si="4"/>
        <v>-25.579428828529306</v>
      </c>
      <c r="N56" s="1">
        <f t="shared" si="9"/>
        <v>30.939925961864219</v>
      </c>
      <c r="P56" s="20">
        <f t="shared" si="10"/>
        <v>37.146360120258372</v>
      </c>
      <c r="Q56" s="20">
        <f t="shared" si="5"/>
        <v>-0.34613957140225676</v>
      </c>
      <c r="R56" s="20">
        <f t="shared" si="6"/>
        <v>-7.5362414849174133</v>
      </c>
      <c r="S56" s="20">
        <f t="shared" si="11"/>
        <v>19.769986463575375</v>
      </c>
      <c r="T56" s="1">
        <f t="shared" si="12"/>
        <v>0</v>
      </c>
    </row>
    <row r="57" spans="1:20" x14ac:dyDescent="0.25">
      <c r="A57" s="20">
        <f t="shared" si="7"/>
        <v>0.52000000000000024</v>
      </c>
      <c r="C57" s="20">
        <f t="shared" si="19"/>
        <v>64.589821809758362</v>
      </c>
      <c r="D57" s="20">
        <f t="shared" si="0"/>
        <v>0.8961177160199375</v>
      </c>
      <c r="E57" s="20">
        <f t="shared" si="1"/>
        <v>19.510509819724309</v>
      </c>
      <c r="F57" s="20">
        <f t="shared" si="2"/>
        <v>0.7527388814567475</v>
      </c>
      <c r="G57" s="20">
        <f t="shared" si="3"/>
        <v>16.388828248568419</v>
      </c>
      <c r="I57" s="20">
        <f t="shared" si="20"/>
        <v>0.61131509906585202</v>
      </c>
      <c r="K57" s="20">
        <f t="shared" si="8"/>
        <v>52.892213137113885</v>
      </c>
      <c r="L57" s="20">
        <f t="shared" si="21"/>
        <v>-1.1658559889005415</v>
      </c>
      <c r="M57" s="20">
        <f t="shared" si="4"/>
        <v>-25.383322205541948</v>
      </c>
      <c r="N57" s="1">
        <f t="shared" si="9"/>
        <v>31.470127064676785</v>
      </c>
      <c r="P57" s="20">
        <f t="shared" si="10"/>
        <v>37.070997705409198</v>
      </c>
      <c r="Q57" s="20">
        <f t="shared" si="5"/>
        <v>-0.34848217518356478</v>
      </c>
      <c r="R57" s="20">
        <f t="shared" si="6"/>
        <v>-7.5872452685296059</v>
      </c>
      <c r="S57" s="20">
        <f t="shared" si="11"/>
        <v>20.141073252703713</v>
      </c>
      <c r="T57" s="1">
        <f t="shared" si="12"/>
        <v>0</v>
      </c>
    </row>
    <row r="58" spans="1:20" x14ac:dyDescent="0.25">
      <c r="A58" s="20">
        <f t="shared" si="7"/>
        <v>0.53000000000000025</v>
      </c>
      <c r="C58" s="20">
        <f t="shared" si="19"/>
        <v>64.338466973862225</v>
      </c>
      <c r="D58" s="20">
        <f t="shared" si="0"/>
        <v>0.88915670447375195</v>
      </c>
      <c r="E58" s="20">
        <f t="shared" si="1"/>
        <v>19.358952851594861</v>
      </c>
      <c r="F58" s="20">
        <f t="shared" si="2"/>
        <v>0.7468916317579517</v>
      </c>
      <c r="G58" s="20">
        <f t="shared" si="3"/>
        <v>16.261520395339684</v>
      </c>
      <c r="I58" s="20">
        <f t="shared" si="20"/>
        <v>0.6126137748843965</v>
      </c>
      <c r="K58" s="20">
        <f t="shared" si="8"/>
        <v>52.638379915058465</v>
      </c>
      <c r="L58" s="20">
        <f t="shared" si="21"/>
        <v>-1.1569302375738462</v>
      </c>
      <c r="M58" s="20">
        <f t="shared" si="4"/>
        <v>-25.18898840787821</v>
      </c>
      <c r="N58" s="1">
        <f t="shared" si="9"/>
        <v>31.997780029937648</v>
      </c>
      <c r="P58" s="20">
        <f t="shared" si="10"/>
        <v>36.995125252723902</v>
      </c>
      <c r="Q58" s="20">
        <f t="shared" si="5"/>
        <v>-0.35077760826933174</v>
      </c>
      <c r="R58" s="20">
        <f t="shared" si="6"/>
        <v>-7.6372220393932455</v>
      </c>
      <c r="S58" s="20">
        <f t="shared" si="11"/>
        <v>20.511403867494376</v>
      </c>
      <c r="T58" s="1">
        <f t="shared" si="12"/>
        <v>0</v>
      </c>
    </row>
    <row r="59" spans="1:20" x14ac:dyDescent="0.25">
      <c r="A59" s="20">
        <f t="shared" si="7"/>
        <v>0.54000000000000026</v>
      </c>
      <c r="C59" s="20">
        <f t="shared" si="19"/>
        <v>64.088522086471201</v>
      </c>
      <c r="D59" s="20">
        <f t="shared" si="0"/>
        <v>0.88226165401203605</v>
      </c>
      <c r="E59" s="20">
        <f t="shared" si="1"/>
        <v>19.208832005487395</v>
      </c>
      <c r="F59" s="20">
        <f t="shared" si="2"/>
        <v>0.74109978937011034</v>
      </c>
      <c r="G59" s="20">
        <f t="shared" si="3"/>
        <v>16.135418884609415</v>
      </c>
      <c r="I59" s="20">
        <f t="shared" si="20"/>
        <v>0.61389879313077389</v>
      </c>
      <c r="K59" s="20">
        <f t="shared" si="8"/>
        <v>52.386490030979679</v>
      </c>
      <c r="L59" s="20">
        <f t="shared" si="21"/>
        <v>-1.1480850087228998</v>
      </c>
      <c r="M59" s="20">
        <f t="shared" si="4"/>
        <v>-24.996407766664486</v>
      </c>
      <c r="N59" s="1">
        <f t="shared" si="9"/>
        <v>32.522904379667835</v>
      </c>
      <c r="P59" s="20">
        <f t="shared" si="10"/>
        <v>36.918753032329967</v>
      </c>
      <c r="Q59" s="20">
        <f t="shared" si="5"/>
        <v>-0.35302671271876812</v>
      </c>
      <c r="R59" s="20">
        <f t="shared" si="6"/>
        <v>-7.6861901310421974</v>
      </c>
      <c r="S59" s="20">
        <f t="shared" si="11"/>
        <v>20.880973258919646</v>
      </c>
      <c r="T59" s="1">
        <f t="shared" si="12"/>
        <v>0</v>
      </c>
    </row>
    <row r="60" spans="1:20" x14ac:dyDescent="0.25">
      <c r="A60" s="20">
        <f t="shared" si="7"/>
        <v>0.55000000000000027</v>
      </c>
      <c r="C60" s="20">
        <f t="shared" si="19"/>
        <v>63.839974002112342</v>
      </c>
      <c r="D60" s="20">
        <f t="shared" si="0"/>
        <v>0.87543174992141171</v>
      </c>
      <c r="E60" s="20">
        <f t="shared" si="1"/>
        <v>19.060129543248678</v>
      </c>
      <c r="F60" s="20">
        <f t="shared" si="2"/>
        <v>0.7353626699339858</v>
      </c>
      <c r="G60" s="20">
        <f t="shared" si="3"/>
        <v>16.010508816328887</v>
      </c>
      <c r="I60" s="20">
        <f t="shared" si="20"/>
        <v>0.6151701980386467</v>
      </c>
      <c r="K60" s="20">
        <f t="shared" si="8"/>
        <v>52.136525953313033</v>
      </c>
      <c r="L60" s="20">
        <f t="shared" si="21"/>
        <v>-1.1393194109892504</v>
      </c>
      <c r="M60" s="20">
        <f t="shared" si="4"/>
        <v>-24.805560875010894</v>
      </c>
      <c r="N60" s="1">
        <f t="shared" si="9"/>
        <v>33.0455194595893</v>
      </c>
      <c r="P60" s="20">
        <f t="shared" si="10"/>
        <v>36.841891131019544</v>
      </c>
      <c r="Q60" s="20">
        <f t="shared" si="5"/>
        <v>-0.35523031469949146</v>
      </c>
      <c r="R60" s="20">
        <f t="shared" si="6"/>
        <v>-7.7341675310144016</v>
      </c>
      <c r="S60" s="20">
        <f t="shared" si="11"/>
        <v>21.249776479736393</v>
      </c>
      <c r="T60" s="1">
        <f t="shared" si="12"/>
        <v>0</v>
      </c>
    </row>
    <row r="61" spans="1:20" x14ac:dyDescent="0.25">
      <c r="A61" s="20">
        <f t="shared" si="7"/>
        <v>0.56000000000000028</v>
      </c>
      <c r="C61" s="20">
        <f t="shared" si="19"/>
        <v>63.592809745913009</v>
      </c>
      <c r="D61" s="20">
        <f t="shared" si="0"/>
        <v>0.86866619029416092</v>
      </c>
      <c r="E61" s="20">
        <f t="shared" si="1"/>
        <v>18.912828005533658</v>
      </c>
      <c r="F61" s="20">
        <f t="shared" si="2"/>
        <v>0.72967959984709518</v>
      </c>
      <c r="G61" s="20">
        <f t="shared" si="3"/>
        <v>15.886775524648273</v>
      </c>
      <c r="I61" s="20">
        <f t="shared" si="20"/>
        <v>0.61642803314203443</v>
      </c>
      <c r="K61" s="20">
        <f t="shared" si="8"/>
        <v>51.888470344562926</v>
      </c>
      <c r="L61" s="20">
        <f t="shared" si="21"/>
        <v>-1.1306325648620157</v>
      </c>
      <c r="M61" s="20">
        <f t="shared" si="4"/>
        <v>-24.616428583975956</v>
      </c>
      <c r="N61" s="1">
        <f t="shared" si="9"/>
        <v>33.565644441078675</v>
      </c>
      <c r="P61" s="20">
        <f t="shared" si="10"/>
        <v>36.7645494557094</v>
      </c>
      <c r="Q61" s="20">
        <f t="shared" si="5"/>
        <v>-0.35738922482227081</v>
      </c>
      <c r="R61" s="20">
        <f t="shared" si="6"/>
        <v>-7.7811718881400136</v>
      </c>
      <c r="S61" s="20">
        <f t="shared" si="11"/>
        <v>21.617808682670042</v>
      </c>
      <c r="T61" s="1">
        <f t="shared" si="12"/>
        <v>0</v>
      </c>
    </row>
    <row r="62" spans="1:20" x14ac:dyDescent="0.25">
      <c r="A62" s="20">
        <f t="shared" si="7"/>
        <v>0.57000000000000028</v>
      </c>
      <c r="C62" s="20">
        <f t="shared" ref="C62:C125" si="22">SQRT((K62^2)+(P62^2))</f>
        <v>63.347016510911033</v>
      </c>
      <c r="D62" s="20">
        <f t="shared" si="0"/>
        <v>0.86196418578644141</v>
      </c>
      <c r="E62" s="20">
        <f t="shared" si="1"/>
        <v>18.76691020654129</v>
      </c>
      <c r="F62" s="20">
        <f t="shared" si="2"/>
        <v>0.72404991606061075</v>
      </c>
      <c r="G62" s="20">
        <f t="shared" si="3"/>
        <v>15.764204573494682</v>
      </c>
      <c r="I62" s="20">
        <f t="shared" ref="I62:I125" si="23">ATAN(P62/K62)</f>
        <v>0.61767234128167425</v>
      </c>
      <c r="K62" s="20">
        <f t="shared" si="8"/>
        <v>51.642306058723165</v>
      </c>
      <c r="L62" s="20">
        <f t="shared" ref="L62:L125" si="24">-(D62*COS(I62))-(F62*SIN(I62))</f>
        <v>-1.1220236024957395</v>
      </c>
      <c r="M62" s="20">
        <f t="shared" si="4"/>
        <v>-24.428991998600903</v>
      </c>
      <c r="N62" s="1">
        <f t="shared" si="9"/>
        <v>34.083298323095107</v>
      </c>
      <c r="P62" s="20">
        <f t="shared" si="10"/>
        <v>36.686737736828</v>
      </c>
      <c r="Q62" s="20">
        <f t="shared" si="5"/>
        <v>-0.35950423846786683</v>
      </c>
      <c r="R62" s="20">
        <f t="shared" si="6"/>
        <v>-7.8272205196574536</v>
      </c>
      <c r="S62" s="20">
        <f t="shared" si="11"/>
        <v>21.985065118632729</v>
      </c>
      <c r="T62" s="1">
        <f t="shared" si="12"/>
        <v>0</v>
      </c>
    </row>
    <row r="63" spans="1:20" x14ac:dyDescent="0.25">
      <c r="A63" s="20">
        <f t="shared" si="7"/>
        <v>0.58000000000000029</v>
      </c>
      <c r="C63" s="20">
        <f t="shared" si="22"/>
        <v>63.102581655416692</v>
      </c>
      <c r="D63" s="20">
        <f t="shared" si="0"/>
        <v>0.85532495938183817</v>
      </c>
      <c r="E63" s="20">
        <f t="shared" si="1"/>
        <v>18.622359228866497</v>
      </c>
      <c r="F63" s="20">
        <f t="shared" si="2"/>
        <v>0.71847296588074405</v>
      </c>
      <c r="G63" s="20">
        <f t="shared" si="3"/>
        <v>15.642781752247856</v>
      </c>
      <c r="I63" s="20">
        <f t="shared" si="23"/>
        <v>0.61890316461126538</v>
      </c>
      <c r="K63" s="20">
        <f t="shared" si="8"/>
        <v>51.398016138737155</v>
      </c>
      <c r="L63" s="20">
        <f t="shared" si="24"/>
        <v>-1.1134916675314059</v>
      </c>
      <c r="M63" s="20">
        <f t="shared" si="4"/>
        <v>-24.243232474012757</v>
      </c>
      <c r="N63" s="1">
        <f t="shared" si="9"/>
        <v>34.598499934082405</v>
      </c>
      <c r="P63" s="20">
        <f t="shared" si="10"/>
        <v>36.608465531631424</v>
      </c>
      <c r="Q63" s="20">
        <f t="shared" si="5"/>
        <v>-0.36157613610617223</v>
      </c>
      <c r="R63" s="20">
        <f t="shared" si="6"/>
        <v>-7.872330418161817</v>
      </c>
      <c r="S63" s="20">
        <f t="shared" si="11"/>
        <v>22.351541134975026</v>
      </c>
      <c r="T63" s="1">
        <f t="shared" si="12"/>
        <v>0</v>
      </c>
    </row>
    <row r="64" spans="1:20" x14ac:dyDescent="0.25">
      <c r="A64" s="20">
        <f t="shared" si="7"/>
        <v>0.5900000000000003</v>
      </c>
      <c r="C64" s="20">
        <f t="shared" si="22"/>
        <v>62.859492700425157</v>
      </c>
      <c r="D64" s="20">
        <f t="shared" si="0"/>
        <v>0.84874774616010873</v>
      </c>
      <c r="E64" s="20">
        <f t="shared" si="1"/>
        <v>18.479158418465246</v>
      </c>
      <c r="F64" s="20">
        <f t="shared" si="2"/>
        <v>0.71294810677449139</v>
      </c>
      <c r="G64" s="20">
        <f t="shared" si="3"/>
        <v>15.522493071510809</v>
      </c>
      <c r="I64" s="20">
        <f t="shared" si="23"/>
        <v>0.6201205446036</v>
      </c>
      <c r="K64" s="20">
        <f t="shared" si="8"/>
        <v>51.155583813997026</v>
      </c>
      <c r="L64" s="20">
        <f t="shared" si="24"/>
        <v>-1.1050359149205355</v>
      </c>
      <c r="M64" s="20">
        <f t="shared" si="4"/>
        <v>-24.059131611594506</v>
      </c>
      <c r="N64" s="1">
        <f t="shared" si="9"/>
        <v>35.111267933846079</v>
      </c>
      <c r="P64" s="20">
        <f t="shared" si="10"/>
        <v>36.529742227449809</v>
      </c>
      <c r="Q64" s="20">
        <f t="shared" si="5"/>
        <v>-0.36360568360785817</v>
      </c>
      <c r="R64" s="20">
        <f t="shared" si="6"/>
        <v>-7.916518258390119</v>
      </c>
      <c r="S64" s="20">
        <f t="shared" si="11"/>
        <v>22.71723217377043</v>
      </c>
      <c r="T64" s="1">
        <f t="shared" si="12"/>
        <v>0</v>
      </c>
    </row>
    <row r="65" spans="1:20" x14ac:dyDescent="0.25">
      <c r="A65" s="20">
        <f t="shared" si="7"/>
        <v>0.60000000000000031</v>
      </c>
      <c r="C65" s="20">
        <f t="shared" si="22"/>
        <v>62.617737327078437</v>
      </c>
      <c r="D65" s="20">
        <f t="shared" si="0"/>
        <v>0.8422317930709976</v>
      </c>
      <c r="E65" s="20">
        <f t="shared" si="1"/>
        <v>18.337291379729972</v>
      </c>
      <c r="F65" s="20">
        <f t="shared" si="2"/>
        <v>0.70747470617963804</v>
      </c>
      <c r="G65" s="20">
        <f t="shared" si="3"/>
        <v>15.403324758973177</v>
      </c>
      <c r="I65" s="20">
        <f t="shared" si="23"/>
        <v>0.62132452205658084</v>
      </c>
      <c r="K65" s="20">
        <f t="shared" si="8"/>
        <v>50.91499249788108</v>
      </c>
      <c r="L65" s="20">
        <f t="shared" si="24"/>
        <v>-1.0966555107523155</v>
      </c>
      <c r="M65" s="20">
        <f t="shared" si="4"/>
        <v>-23.876671255221325</v>
      </c>
      <c r="N65" s="1">
        <f t="shared" si="9"/>
        <v>35.621620815405471</v>
      </c>
      <c r="P65" s="20">
        <f t="shared" si="10"/>
        <v>36.450577044865909</v>
      </c>
      <c r="Q65" s="20">
        <f t="shared" si="5"/>
        <v>-0.36559363254871674</v>
      </c>
      <c r="R65" s="20">
        <f t="shared" si="6"/>
        <v>-7.9598004038475239</v>
      </c>
      <c r="S65" s="20">
        <f t="shared" si="11"/>
        <v>23.08213377013201</v>
      </c>
      <c r="T65" s="1">
        <f t="shared" si="12"/>
        <v>0</v>
      </c>
    </row>
    <row r="66" spans="1:20" x14ac:dyDescent="0.25">
      <c r="A66" s="20">
        <f t="shared" si="7"/>
        <v>0.61000000000000032</v>
      </c>
      <c r="C66" s="20">
        <f t="shared" si="22"/>
        <v>62.377303374175604</v>
      </c>
      <c r="D66" s="20">
        <f t="shared" si="0"/>
        <v>0.83577635871298805</v>
      </c>
      <c r="E66" s="20">
        <f t="shared" si="1"/>
        <v>18.196741970672502</v>
      </c>
      <c r="F66" s="20">
        <f t="shared" si="2"/>
        <v>0.70205214131891003</v>
      </c>
      <c r="G66" s="20">
        <f t="shared" si="3"/>
        <v>15.285263255364905</v>
      </c>
      <c r="I66" s="20">
        <f t="shared" si="23"/>
        <v>0.62251513709913087</v>
      </c>
      <c r="K66" s="20">
        <f t="shared" si="8"/>
        <v>50.676225785328867</v>
      </c>
      <c r="L66" s="20">
        <f t="shared" si="24"/>
        <v>-1.0883496320837023</v>
      </c>
      <c r="M66" s="20">
        <f t="shared" si="4"/>
        <v>-23.695833487561558</v>
      </c>
      <c r="N66" s="1">
        <f t="shared" si="9"/>
        <v>36.129576906821526</v>
      </c>
      <c r="P66" s="20">
        <f t="shared" si="10"/>
        <v>36.370979040827436</v>
      </c>
      <c r="Q66" s="20">
        <f t="shared" si="5"/>
        <v>-0.36754072050689868</v>
      </c>
      <c r="R66" s="20">
        <f t="shared" si="6"/>
        <v>-8.0021929132788738</v>
      </c>
      <c r="S66" s="20">
        <f t="shared" si="11"/>
        <v>23.446241550560476</v>
      </c>
      <c r="T66" s="1">
        <f t="shared" si="12"/>
        <v>0</v>
      </c>
    </row>
    <row r="67" spans="1:20" x14ac:dyDescent="0.25">
      <c r="A67" s="20">
        <f t="shared" si="7"/>
        <v>0.62000000000000033</v>
      </c>
      <c r="C67" s="20">
        <f t="shared" si="22"/>
        <v>62.138178835730393</v>
      </c>
      <c r="D67" s="20">
        <f t="shared" si="0"/>
        <v>0.82938071311687389</v>
      </c>
      <c r="E67" s="20">
        <f t="shared" si="1"/>
        <v>18.057494298211928</v>
      </c>
      <c r="F67" s="20">
        <f t="shared" si="2"/>
        <v>0.69667979901817412</v>
      </c>
      <c r="G67" s="20">
        <f t="shared" si="3"/>
        <v>15.168295210498021</v>
      </c>
      <c r="I67" s="20">
        <f t="shared" si="23"/>
        <v>0.62369242919699319</v>
      </c>
      <c r="K67" s="20">
        <f t="shared" si="8"/>
        <v>50.439267450453251</v>
      </c>
      <c r="L67" s="20">
        <f t="shared" si="24"/>
        <v>-1.0801174667724445</v>
      </c>
      <c r="M67" s="20">
        <f t="shared" si="4"/>
        <v>-23.516600626441203</v>
      </c>
      <c r="N67" s="1">
        <f t="shared" si="9"/>
        <v>36.635154373000439</v>
      </c>
      <c r="P67" s="20">
        <f t="shared" si="10"/>
        <v>36.290957111694645</v>
      </c>
      <c r="Q67" s="20">
        <f t="shared" si="5"/>
        <v>-0.36944767135322254</v>
      </c>
      <c r="R67" s="20">
        <f t="shared" si="6"/>
        <v>-8.0437115469893872</v>
      </c>
      <c r="S67" s="20">
        <f t="shared" si="11"/>
        <v>23.809551231323088</v>
      </c>
      <c r="T67" s="1">
        <f t="shared" si="12"/>
        <v>0</v>
      </c>
    </row>
    <row r="68" spans="1:20" x14ac:dyDescent="0.25">
      <c r="A68" s="20">
        <f t="shared" si="7"/>
        <v>0.63000000000000034</v>
      </c>
      <c r="C68" s="20">
        <f t="shared" si="22"/>
        <v>61.900351858575057</v>
      </c>
      <c r="D68" s="20">
        <f t="shared" si="0"/>
        <v>0.82304413753402728</v>
      </c>
      <c r="E68" s="20">
        <f t="shared" si="1"/>
        <v>17.919532713564713</v>
      </c>
      <c r="F68" s="20">
        <f t="shared" si="2"/>
        <v>0.69135707552858294</v>
      </c>
      <c r="G68" s="20">
        <f t="shared" si="3"/>
        <v>15.052407479394359</v>
      </c>
      <c r="I68" s="20">
        <f t="shared" si="23"/>
        <v>0.6248564371584262</v>
      </c>
      <c r="K68" s="20">
        <f t="shared" si="8"/>
        <v>50.204101444188836</v>
      </c>
      <c r="L68" s="20">
        <f t="shared" si="24"/>
        <v>-1.0719582133129721</v>
      </c>
      <c r="M68" s="20">
        <f t="shared" si="4"/>
        <v>-23.338955221270894</v>
      </c>
      <c r="N68" s="1">
        <f t="shared" si="9"/>
        <v>37.138371217473647</v>
      </c>
      <c r="P68" s="20">
        <f t="shared" si="10"/>
        <v>36.210519996224754</v>
      </c>
      <c r="Q68" s="20">
        <f t="shared" si="5"/>
        <v>-0.37131519553474068</v>
      </c>
      <c r="R68" s="20">
        <f t="shared" si="6"/>
        <v>-8.0843717730185212</v>
      </c>
      <c r="S68" s="20">
        <f t="shared" si="11"/>
        <v>24.172058616862685</v>
      </c>
      <c r="T68" s="1">
        <f t="shared" si="12"/>
        <v>0</v>
      </c>
    </row>
    <row r="69" spans="1:20" x14ac:dyDescent="0.25">
      <c r="A69" s="20">
        <f t="shared" si="7"/>
        <v>0.64000000000000035</v>
      </c>
      <c r="C69" s="20">
        <f t="shared" si="22"/>
        <v>61.663810740009396</v>
      </c>
      <c r="D69" s="20">
        <f t="shared" ref="D69:D132" si="25">0.5*$W$5*$W$10*$W$9*C69^2</f>
        <v>0.81676592422924643</v>
      </c>
      <c r="E69" s="20">
        <f t="shared" ref="E69:E132" si="26">D69/$W$4</f>
        <v>17.782841807734521</v>
      </c>
      <c r="F69" s="20">
        <f t="shared" ref="F69:F132" si="27">0.5*$W$6*$W$10*$W$9*C69^2</f>
        <v>0.686083376352567</v>
      </c>
      <c r="G69" s="20">
        <f t="shared" ref="G69:G132" si="28">F69/$W$4</f>
        <v>14.937587118496996</v>
      </c>
      <c r="I69" s="20">
        <f t="shared" si="23"/>
        <v>0.62600719913979375</v>
      </c>
      <c r="K69" s="20">
        <f t="shared" si="8"/>
        <v>49.97071189197613</v>
      </c>
      <c r="L69" s="20">
        <f t="shared" si="24"/>
        <v>-1.0638710806750911</v>
      </c>
      <c r="M69" s="20">
        <f t="shared" ref="M69:M132" si="29">L69/$W$4</f>
        <v>-23.162880049533879</v>
      </c>
      <c r="N69" s="1">
        <f t="shared" si="9"/>
        <v>37.63924528415447</v>
      </c>
      <c r="P69" s="20">
        <f t="shared" si="10"/>
        <v>36.129676278494571</v>
      </c>
      <c r="Q69" s="20">
        <f t="shared" ref="Q69:Q132" si="30">-(D69*SIN(I69))+(F69*COS(I69))-($W$4*9.81)</f>
        <v>-0.37314399035173412</v>
      </c>
      <c r="R69" s="20">
        <f t="shared" ref="R69:R132" si="31">Q69/$W$4</f>
        <v>-8.1241887731707845</v>
      </c>
      <c r="S69" s="20">
        <f t="shared" si="11"/>
        <v>24.53375959823628</v>
      </c>
      <c r="T69" s="1">
        <f t="shared" si="12"/>
        <v>0</v>
      </c>
    </row>
    <row r="70" spans="1:20" x14ac:dyDescent="0.25">
      <c r="A70" s="20">
        <f t="shared" ref="A70:A133" si="32">A69+$W$18</f>
        <v>0.65000000000000036</v>
      </c>
      <c r="C70" s="20">
        <f t="shared" si="22"/>
        <v>61.428543925494161</v>
      </c>
      <c r="D70" s="20">
        <f t="shared" si="25"/>
        <v>0.81054537627807222</v>
      </c>
      <c r="E70" s="20">
        <f t="shared" si="26"/>
        <v>17.647406407099329</v>
      </c>
      <c r="F70" s="20">
        <f t="shared" si="27"/>
        <v>0.68085811607358071</v>
      </c>
      <c r="G70" s="20">
        <f t="shared" si="28"/>
        <v>14.823821381963439</v>
      </c>
      <c r="I70" s="20">
        <f t="shared" si="23"/>
        <v>0.62714475265105329</v>
      </c>
      <c r="K70" s="20">
        <f t="shared" ref="K70:K133" si="33">K69+(M69*$W$18)</f>
        <v>49.739083091480794</v>
      </c>
      <c r="L70" s="20">
        <f t="shared" si="24"/>
        <v>-1.0558552881454404</v>
      </c>
      <c r="M70" s="20">
        <f t="shared" si="29"/>
        <v>-22.988358113334215</v>
      </c>
      <c r="N70" s="1">
        <f t="shared" ref="N70:N133" si="34">N69+(K69*$W$18)+(0.5*M69*$W$18^2)</f>
        <v>38.137794259071754</v>
      </c>
      <c r="P70" s="20">
        <f t="shared" ref="P70:P133" si="35">P69+(R69*$W$18)</f>
        <v>36.048434390762864</v>
      </c>
      <c r="Q70" s="20">
        <f t="shared" si="30"/>
        <v>-0.37493474022830608</v>
      </c>
      <c r="R70" s="20">
        <f t="shared" si="31"/>
        <v>-8.1631774489071649</v>
      </c>
      <c r="S70" s="20">
        <f t="shared" ref="S70:S133" si="36">S69+(P69*$W$18)+(0.5*R69*$W$18^2)</f>
        <v>24.894650151582567</v>
      </c>
      <c r="T70" s="1">
        <f t="shared" si="12"/>
        <v>0</v>
      </c>
    </row>
    <row r="71" spans="1:20" x14ac:dyDescent="0.25">
      <c r="A71" s="20">
        <f t="shared" si="32"/>
        <v>0.66000000000000036</v>
      </c>
      <c r="C71" s="20">
        <f t="shared" si="22"/>
        <v>61.194540006387726</v>
      </c>
      <c r="D71" s="20">
        <f t="shared" si="25"/>
        <v>0.80438180736846276</v>
      </c>
      <c r="E71" s="20">
        <f t="shared" si="26"/>
        <v>17.513211569093464</v>
      </c>
      <c r="F71" s="20">
        <f t="shared" si="27"/>
        <v>0.6756807181895087</v>
      </c>
      <c r="G71" s="20">
        <f t="shared" si="28"/>
        <v>14.711097718038509</v>
      </c>
      <c r="I71" s="20">
        <f t="shared" si="23"/>
        <v>0.62826913456114375</v>
      </c>
      <c r="K71" s="20">
        <f t="shared" si="33"/>
        <v>49.50919951034745</v>
      </c>
      <c r="L71" s="20">
        <f t="shared" si="24"/>
        <v>-1.047910065171656</v>
      </c>
      <c r="M71" s="20">
        <f t="shared" si="29"/>
        <v>-22.815372636003833</v>
      </c>
      <c r="N71" s="1">
        <f t="shared" si="34"/>
        <v>38.634035672080898</v>
      </c>
      <c r="P71" s="20">
        <f t="shared" si="35"/>
        <v>35.966802616273796</v>
      </c>
      <c r="Q71" s="20">
        <f t="shared" si="30"/>
        <v>-0.37668811697673993</v>
      </c>
      <c r="R71" s="20">
        <f t="shared" si="31"/>
        <v>-8.2013524271008045</v>
      </c>
      <c r="S71" s="20">
        <f t="shared" si="36"/>
        <v>25.25472633661775</v>
      </c>
      <c r="T71" s="1">
        <f t="shared" ref="T71:T134" si="37">IF(AND(S70&gt;0,S71&lt;0),(-1*S70*(N71-N70)/(S71-S70)+N70),0)</f>
        <v>0</v>
      </c>
    </row>
    <row r="72" spans="1:20" x14ac:dyDescent="0.25">
      <c r="A72" s="20">
        <f t="shared" si="32"/>
        <v>0.67000000000000037</v>
      </c>
      <c r="C72" s="20">
        <f t="shared" si="22"/>
        <v>60.961787717725159</v>
      </c>
      <c r="D72" s="20">
        <f t="shared" si="25"/>
        <v>0.79827454160671807</v>
      </c>
      <c r="E72" s="20">
        <f t="shared" si="26"/>
        <v>17.380242577982106</v>
      </c>
      <c r="F72" s="20">
        <f t="shared" si="27"/>
        <v>0.67055061494964319</v>
      </c>
      <c r="G72" s="20">
        <f t="shared" si="28"/>
        <v>14.599403765504968</v>
      </c>
      <c r="I72" s="20">
        <f t="shared" si="23"/>
        <v>0.62938038110327432</v>
      </c>
      <c r="K72" s="20">
        <f t="shared" si="33"/>
        <v>49.281045783987409</v>
      </c>
      <c r="L72" s="20">
        <f t="shared" si="24"/>
        <v>-1.0400346512091898</v>
      </c>
      <c r="M72" s="20">
        <f t="shared" si="29"/>
        <v>-22.643907058767468</v>
      </c>
      <c r="N72" s="1">
        <f t="shared" si="34"/>
        <v>39.127986898552571</v>
      </c>
      <c r="P72" s="20">
        <f t="shared" si="35"/>
        <v>35.884789092002791</v>
      </c>
      <c r="Q72" s="20">
        <f t="shared" si="30"/>
        <v>-0.37840478005577938</v>
      </c>
      <c r="R72" s="20">
        <f t="shared" si="31"/>
        <v>-8.2387280656603394</v>
      </c>
      <c r="S72" s="20">
        <f t="shared" si="36"/>
        <v>25.613984295159131</v>
      </c>
      <c r="T72" s="1">
        <f t="shared" si="37"/>
        <v>0</v>
      </c>
    </row>
    <row r="73" spans="1:20" x14ac:dyDescent="0.25">
      <c r="A73" s="20">
        <f t="shared" si="32"/>
        <v>0.68000000000000038</v>
      </c>
      <c r="C73" s="20">
        <f t="shared" si="22"/>
        <v>60.730275936038751</v>
      </c>
      <c r="D73" s="20">
        <f t="shared" si="25"/>
        <v>0.79222291332755224</v>
      </c>
      <c r="E73" s="20">
        <f t="shared" si="26"/>
        <v>17.248484940726154</v>
      </c>
      <c r="F73" s="20">
        <f t="shared" si="27"/>
        <v>0.66546724719514383</v>
      </c>
      <c r="G73" s="20">
        <f t="shared" si="28"/>
        <v>14.488727350209968</v>
      </c>
      <c r="I73" s="20">
        <f t="shared" si="23"/>
        <v>0.63047852788011594</v>
      </c>
      <c r="K73" s="20">
        <f t="shared" si="33"/>
        <v>49.054606713399735</v>
      </c>
      <c r="L73" s="20">
        <f t="shared" si="24"/>
        <v>-1.0322282955707369</v>
      </c>
      <c r="M73" s="20">
        <f t="shared" si="29"/>
        <v>-22.473945037464336</v>
      </c>
      <c r="N73" s="1">
        <f t="shared" si="34"/>
        <v>39.619665161039507</v>
      </c>
      <c r="P73" s="20">
        <f t="shared" si="35"/>
        <v>35.802401811346186</v>
      </c>
      <c r="Q73" s="20">
        <f t="shared" si="30"/>
        <v>-0.38008537682298804</v>
      </c>
      <c r="R73" s="20">
        <f t="shared" si="31"/>
        <v>-8.2753184590243425</v>
      </c>
      <c r="S73" s="20">
        <f t="shared" si="36"/>
        <v>25.972420249675878</v>
      </c>
      <c r="T73" s="1">
        <f t="shared" si="37"/>
        <v>0</v>
      </c>
    </row>
    <row r="74" spans="1:20" x14ac:dyDescent="0.25">
      <c r="A74" s="20">
        <f t="shared" si="32"/>
        <v>0.69000000000000039</v>
      </c>
      <c r="C74" s="20">
        <f t="shared" si="22"/>
        <v>60.499993677219152</v>
      </c>
      <c r="D74" s="20">
        <f t="shared" si="25"/>
        <v>0.78622626690821007</v>
      </c>
      <c r="E74" s="20">
        <f t="shared" si="26"/>
        <v>17.117924382935122</v>
      </c>
      <c r="F74" s="20">
        <f t="shared" si="27"/>
        <v>0.66043006420289652</v>
      </c>
      <c r="G74" s="20">
        <f t="shared" si="28"/>
        <v>14.379056481665502</v>
      </c>
      <c r="I74" s="20">
        <f t="shared" si="23"/>
        <v>0.63156360986889837</v>
      </c>
      <c r="K74" s="20">
        <f t="shared" si="33"/>
        <v>48.829867263025093</v>
      </c>
      <c r="L74" s="20">
        <f t="shared" si="24"/>
        <v>-1.0244902572782206</v>
      </c>
      <c r="M74" s="20">
        <f t="shared" si="29"/>
        <v>-22.305470439325511</v>
      </c>
      <c r="N74" s="1">
        <f t="shared" si="34"/>
        <v>40.109087530921634</v>
      </c>
      <c r="P74" s="20">
        <f t="shared" si="35"/>
        <v>35.719648626755941</v>
      </c>
      <c r="Q74" s="20">
        <f t="shared" si="30"/>
        <v>-0.38173054278133967</v>
      </c>
      <c r="R74" s="20">
        <f t="shared" si="31"/>
        <v>-8.3111374435301482</v>
      </c>
      <c r="S74" s="20">
        <f t="shared" si="36"/>
        <v>26.330030501866389</v>
      </c>
      <c r="T74" s="1">
        <f t="shared" si="37"/>
        <v>0</v>
      </c>
    </row>
    <row r="75" spans="1:20" x14ac:dyDescent="0.25">
      <c r="A75" s="20">
        <f t="shared" si="32"/>
        <v>0.7000000000000004</v>
      </c>
      <c r="C75" s="20">
        <f t="shared" si="22"/>
        <v>60.270930094416215</v>
      </c>
      <c r="D75" s="20">
        <f t="shared" si="25"/>
        <v>0.78028395658653316</v>
      </c>
      <c r="E75" s="20">
        <f t="shared" si="26"/>
        <v>16.988546844906011</v>
      </c>
      <c r="F75" s="20">
        <f t="shared" si="27"/>
        <v>0.65543852353268783</v>
      </c>
      <c r="G75" s="20">
        <f t="shared" si="28"/>
        <v>14.27037934972105</v>
      </c>
      <c r="I75" s="20">
        <f t="shared" si="23"/>
        <v>0.63263566142641281</v>
      </c>
      <c r="K75" s="20">
        <f t="shared" si="33"/>
        <v>48.606812558631837</v>
      </c>
      <c r="L75" s="20">
        <f t="shared" si="24"/>
        <v>-1.0168198049172898</v>
      </c>
      <c r="M75" s="20">
        <f t="shared" si="29"/>
        <v>-22.138467339806006</v>
      </c>
      <c r="N75" s="1">
        <f t="shared" si="34"/>
        <v>40.596270930029917</v>
      </c>
      <c r="P75" s="20">
        <f t="shared" si="35"/>
        <v>35.636537252320636</v>
      </c>
      <c r="Q75" s="20">
        <f t="shared" si="30"/>
        <v>-0.38334090182018415</v>
      </c>
      <c r="R75" s="20">
        <f t="shared" si="31"/>
        <v>-8.3461986026602251</v>
      </c>
      <c r="S75" s="20">
        <f t="shared" si="36"/>
        <v>26.68681143126177</v>
      </c>
      <c r="T75" s="1">
        <f t="shared" si="37"/>
        <v>0</v>
      </c>
    </row>
    <row r="76" spans="1:20" x14ac:dyDescent="0.25">
      <c r="A76" s="20">
        <f t="shared" si="32"/>
        <v>0.71000000000000041</v>
      </c>
      <c r="C76" s="20">
        <f t="shared" si="22"/>
        <v>60.04307447597872</v>
      </c>
      <c r="D76" s="20">
        <f t="shared" si="25"/>
        <v>0.77439534628287532</v>
      </c>
      <c r="E76" s="20">
        <f t="shared" si="26"/>
        <v>16.860338477746033</v>
      </c>
      <c r="F76" s="20">
        <f t="shared" si="27"/>
        <v>0.65049209087761528</v>
      </c>
      <c r="G76" s="20">
        <f t="shared" si="28"/>
        <v>14.162684321306669</v>
      </c>
      <c r="I76" s="20">
        <f t="shared" si="23"/>
        <v>0.63369471629392238</v>
      </c>
      <c r="K76" s="20">
        <f t="shared" si="33"/>
        <v>48.385427885233774</v>
      </c>
      <c r="L76" s="20">
        <f t="shared" si="24"/>
        <v>-1.0092162164942804</v>
      </c>
      <c r="M76" s="20">
        <f t="shared" si="29"/>
        <v>-21.972920019470507</v>
      </c>
      <c r="N76" s="1">
        <f t="shared" si="34"/>
        <v>41.081232132249248</v>
      </c>
      <c r="P76" s="20">
        <f t="shared" si="35"/>
        <v>35.553075266294037</v>
      </c>
      <c r="Q76" s="20">
        <f t="shared" si="30"/>
        <v>-0.38491706645073293</v>
      </c>
      <c r="R76" s="20">
        <f t="shared" si="31"/>
        <v>-8.3805152721692338</v>
      </c>
      <c r="S76" s="20">
        <f t="shared" si="36"/>
        <v>27.042759493854845</v>
      </c>
      <c r="T76" s="1">
        <f t="shared" si="37"/>
        <v>0</v>
      </c>
    </row>
    <row r="77" spans="1:20" x14ac:dyDescent="0.25">
      <c r="A77" s="20">
        <f t="shared" si="32"/>
        <v>0.72000000000000042</v>
      </c>
      <c r="C77" s="20">
        <f t="shared" si="22"/>
        <v>59.816416243432123</v>
      </c>
      <c r="D77" s="20">
        <f t="shared" si="25"/>
        <v>0.7685598094257774</v>
      </c>
      <c r="E77" s="20">
        <f t="shared" si="26"/>
        <v>16.733285639577126</v>
      </c>
      <c r="F77" s="20">
        <f t="shared" si="27"/>
        <v>0.64559023991765307</v>
      </c>
      <c r="G77" s="20">
        <f t="shared" si="28"/>
        <v>14.055959937244788</v>
      </c>
      <c r="I77" s="20">
        <f t="shared" si="23"/>
        <v>0.63474080760198259</v>
      </c>
      <c r="K77" s="20">
        <f t="shared" si="33"/>
        <v>48.165698685039068</v>
      </c>
      <c r="L77" s="20">
        <f t="shared" si="24"/>
        <v>-1.0016787792955943</v>
      </c>
      <c r="M77" s="20">
        <f t="shared" si="29"/>
        <v>-21.808812960931732</v>
      </c>
      <c r="N77" s="1">
        <f t="shared" si="34"/>
        <v>41.563987765100613</v>
      </c>
      <c r="P77" s="20">
        <f t="shared" si="35"/>
        <v>35.469270113572342</v>
      </c>
      <c r="Q77" s="20">
        <f t="shared" si="30"/>
        <v>-0.38645963803620298</v>
      </c>
      <c r="R77" s="20">
        <f t="shared" si="31"/>
        <v>-8.4141005450947741</v>
      </c>
      <c r="S77" s="20">
        <f t="shared" si="36"/>
        <v>27.397871220754176</v>
      </c>
      <c r="T77" s="1">
        <f t="shared" si="37"/>
        <v>0</v>
      </c>
    </row>
    <row r="78" spans="1:20" x14ac:dyDescent="0.25">
      <c r="A78" s="20">
        <f t="shared" si="32"/>
        <v>0.73000000000000043</v>
      </c>
      <c r="C78" s="20">
        <f t="shared" si="22"/>
        <v>59.590944949493611</v>
      </c>
      <c r="D78" s="20">
        <f t="shared" si="25"/>
        <v>0.76277672878131164</v>
      </c>
      <c r="E78" s="20">
        <f t="shared" si="26"/>
        <v>16.607374891820417</v>
      </c>
      <c r="F78" s="20">
        <f t="shared" si="27"/>
        <v>0.64073245217630181</v>
      </c>
      <c r="G78" s="20">
        <f t="shared" si="28"/>
        <v>13.950194909129149</v>
      </c>
      <c r="I78" s="20">
        <f t="shared" si="23"/>
        <v>0.63577396787517293</v>
      </c>
      <c r="K78" s="20">
        <f t="shared" si="33"/>
        <v>47.947610555429748</v>
      </c>
      <c r="L78" s="20">
        <f t="shared" si="24"/>
        <v>-0.99420678974945687</v>
      </c>
      <c r="M78" s="20">
        <f t="shared" si="29"/>
        <v>-21.64613084584056</v>
      </c>
      <c r="N78" s="1">
        <f t="shared" si="34"/>
        <v>42.044554311302953</v>
      </c>
      <c r="P78" s="20">
        <f t="shared" si="35"/>
        <v>35.385129108121397</v>
      </c>
      <c r="Q78" s="20">
        <f t="shared" si="30"/>
        <v>-0.38796920701675347</v>
      </c>
      <c r="R78" s="20">
        <f t="shared" si="31"/>
        <v>-8.4469672766547674</v>
      </c>
      <c r="S78" s="20">
        <f t="shared" si="36"/>
        <v>27.752143216862642</v>
      </c>
      <c r="T78" s="1">
        <f t="shared" si="37"/>
        <v>0</v>
      </c>
    </row>
    <row r="79" spans="1:20" x14ac:dyDescent="0.25">
      <c r="A79" s="20">
        <f t="shared" si="32"/>
        <v>0.74000000000000044</v>
      </c>
      <c r="C79" s="20">
        <f t="shared" si="22"/>
        <v>59.366650276123551</v>
      </c>
      <c r="D79" s="20">
        <f t="shared" si="25"/>
        <v>0.75704549628600259</v>
      </c>
      <c r="E79" s="20">
        <f t="shared" si="26"/>
        <v>16.482592995558516</v>
      </c>
      <c r="F79" s="20">
        <f t="shared" si="27"/>
        <v>0.63591821688024219</v>
      </c>
      <c r="G79" s="20">
        <f t="shared" si="28"/>
        <v>13.845378116269153</v>
      </c>
      <c r="I79" s="20">
        <f t="shared" si="23"/>
        <v>0.63679422903674021</v>
      </c>
      <c r="K79" s="20">
        <f t="shared" si="33"/>
        <v>47.731149246971341</v>
      </c>
      <c r="L79" s="20">
        <f t="shared" si="24"/>
        <v>-0.98679955328999758</v>
      </c>
      <c r="M79" s="20">
        <f t="shared" si="29"/>
        <v>-21.484858551926791</v>
      </c>
      <c r="N79" s="1">
        <f t="shared" si="34"/>
        <v>42.522948110314957</v>
      </c>
      <c r="P79" s="20">
        <f t="shared" si="35"/>
        <v>35.300659435354852</v>
      </c>
      <c r="Q79" s="20">
        <f t="shared" si="30"/>
        <v>-0.38944635312934506</v>
      </c>
      <c r="R79" s="20">
        <f t="shared" si="31"/>
        <v>-8.4791280890342922</v>
      </c>
      <c r="S79" s="20">
        <f t="shared" si="36"/>
        <v>28.105572159580021</v>
      </c>
      <c r="T79" s="1">
        <f t="shared" si="37"/>
        <v>0</v>
      </c>
    </row>
    <row r="80" spans="1:20" x14ac:dyDescent="0.25">
      <c r="A80" s="20">
        <f t="shared" si="32"/>
        <v>0.75000000000000044</v>
      </c>
      <c r="C80" s="20">
        <f t="shared" si="22"/>
        <v>59.143522032612651</v>
      </c>
      <c r="D80" s="20">
        <f t="shared" si="25"/>
        <v>0.75136551288324516</v>
      </c>
      <c r="E80" s="20">
        <f t="shared" si="26"/>
        <v>16.358926907973984</v>
      </c>
      <c r="F80" s="20">
        <f t="shared" si="27"/>
        <v>0.63114703082192603</v>
      </c>
      <c r="G80" s="20">
        <f t="shared" si="28"/>
        <v>13.741498602698151</v>
      </c>
      <c r="I80" s="20">
        <f t="shared" si="23"/>
        <v>0.63780162241315741</v>
      </c>
      <c r="K80" s="20">
        <f t="shared" si="33"/>
        <v>47.516300661452071</v>
      </c>
      <c r="L80" s="20">
        <f t="shared" si="24"/>
        <v>-0.97945638422362546</v>
      </c>
      <c r="M80" s="20">
        <f t="shared" si="29"/>
        <v>-21.324981150089823</v>
      </c>
      <c r="N80" s="1">
        <f t="shared" si="34"/>
        <v>42.99918535985708</v>
      </c>
      <c r="P80" s="20">
        <f t="shared" si="35"/>
        <v>35.215868154464509</v>
      </c>
      <c r="Q80" s="20">
        <f t="shared" si="30"/>
        <v>-0.39089164562265244</v>
      </c>
      <c r="R80" s="20">
        <f t="shared" si="31"/>
        <v>-8.5105953760647175</v>
      </c>
      <c r="S80" s="20">
        <f t="shared" si="36"/>
        <v>28.458154797529119</v>
      </c>
      <c r="T80" s="1">
        <f t="shared" si="37"/>
        <v>0</v>
      </c>
    </row>
    <row r="81" spans="1:20" x14ac:dyDescent="0.25">
      <c r="A81" s="20">
        <f t="shared" si="32"/>
        <v>0.76000000000000045</v>
      </c>
      <c r="C81" s="20">
        <f t="shared" si="22"/>
        <v>58.921550153704118</v>
      </c>
      <c r="D81" s="20">
        <f t="shared" si="25"/>
        <v>0.74573618836313205</v>
      </c>
      <c r="E81" s="20">
        <f t="shared" si="26"/>
        <v>16.23636377886201</v>
      </c>
      <c r="F81" s="20">
        <f t="shared" si="27"/>
        <v>0.62641839822503087</v>
      </c>
      <c r="G81" s="20">
        <f t="shared" si="28"/>
        <v>13.638545574244086</v>
      </c>
      <c r="I81" s="20">
        <f t="shared" si="23"/>
        <v>0.63879617873859673</v>
      </c>
      <c r="K81" s="20">
        <f t="shared" si="33"/>
        <v>47.30305084995117</v>
      </c>
      <c r="L81" s="20">
        <f t="shared" si="24"/>
        <v>-0.97217660559764341</v>
      </c>
      <c r="M81" s="20">
        <f t="shared" si="29"/>
        <v>-21.166483901538069</v>
      </c>
      <c r="N81" s="1">
        <f t="shared" si="34"/>
        <v>43.473282117414101</v>
      </c>
      <c r="P81" s="20">
        <f t="shared" si="35"/>
        <v>35.130762200703863</v>
      </c>
      <c r="Q81" s="20">
        <f t="shared" si="30"/>
        <v>-0.39230564346715047</v>
      </c>
      <c r="R81" s="20">
        <f t="shared" si="31"/>
        <v>-8.5413813077977458</v>
      </c>
      <c r="S81" s="20">
        <f t="shared" si="36"/>
        <v>28.809887949304958</v>
      </c>
      <c r="T81" s="1">
        <f t="shared" si="37"/>
        <v>0</v>
      </c>
    </row>
    <row r="82" spans="1:20" x14ac:dyDescent="0.25">
      <c r="A82" s="20">
        <f t="shared" si="32"/>
        <v>0.77000000000000046</v>
      </c>
      <c r="C82" s="20">
        <f t="shared" si="22"/>
        <v>58.700724697749955</v>
      </c>
      <c r="D82" s="20">
        <f t="shared" si="25"/>
        <v>0.74015694120561037</v>
      </c>
      <c r="E82" s="20">
        <f t="shared" si="26"/>
        <v>16.114890947215553</v>
      </c>
      <c r="F82" s="20">
        <f t="shared" si="27"/>
        <v>0.62173183061271275</v>
      </c>
      <c r="G82" s="20">
        <f t="shared" si="28"/>
        <v>13.536508395661066</v>
      </c>
      <c r="I82" s="20">
        <f t="shared" si="23"/>
        <v>0.63977792815932033</v>
      </c>
      <c r="K82" s="20">
        <f t="shared" si="33"/>
        <v>47.091386010935786</v>
      </c>
      <c r="L82" s="20">
        <f t="shared" si="24"/>
        <v>-0.96495954907107007</v>
      </c>
      <c r="M82" s="20">
        <f t="shared" si="29"/>
        <v>-21.009352254976488</v>
      </c>
      <c r="N82" s="1">
        <f t="shared" si="34"/>
        <v>43.945254301718535</v>
      </c>
      <c r="P82" s="20">
        <f t="shared" si="35"/>
        <v>35.045348387625886</v>
      </c>
      <c r="Q82" s="20">
        <f t="shared" si="30"/>
        <v>-0.39368889556049486</v>
      </c>
      <c r="R82" s="20">
        <f t="shared" si="31"/>
        <v>-8.571497834977027</v>
      </c>
      <c r="S82" s="20">
        <f t="shared" si="36"/>
        <v>29.160768502246608</v>
      </c>
      <c r="T82" s="1">
        <f t="shared" si="37"/>
        <v>0</v>
      </c>
    </row>
    <row r="83" spans="1:20" x14ac:dyDescent="0.25">
      <c r="A83" s="20">
        <f t="shared" si="32"/>
        <v>0.78000000000000047</v>
      </c>
      <c r="C83" s="20">
        <f t="shared" si="22"/>
        <v>58.481035844900816</v>
      </c>
      <c r="D83" s="20">
        <f t="shared" si="25"/>
        <v>0.73462719842688995</v>
      </c>
      <c r="E83" s="20">
        <f t="shared" si="26"/>
        <v>15.994495937881341</v>
      </c>
      <c r="F83" s="20">
        <f t="shared" si="27"/>
        <v>0.61708684667858749</v>
      </c>
      <c r="G83" s="20">
        <f t="shared" si="28"/>
        <v>13.435376587820324</v>
      </c>
      <c r="I83" s="20">
        <f t="shared" si="23"/>
        <v>0.64074690023798986</v>
      </c>
      <c r="K83" s="20">
        <f t="shared" si="33"/>
        <v>46.881292488386023</v>
      </c>
      <c r="L83" s="20">
        <f t="shared" si="24"/>
        <v>-0.95780455478762239</v>
      </c>
      <c r="M83" s="20">
        <f t="shared" si="29"/>
        <v>-20.853571843841117</v>
      </c>
      <c r="N83" s="1">
        <f t="shared" si="34"/>
        <v>44.415117694215141</v>
      </c>
      <c r="P83" s="20">
        <f t="shared" si="35"/>
        <v>34.959633409276115</v>
      </c>
      <c r="Q83" s="20">
        <f t="shared" si="30"/>
        <v>-0.39504194092831846</v>
      </c>
      <c r="R83" s="20">
        <f t="shared" si="31"/>
        <v>-8.6009566934099375</v>
      </c>
      <c r="S83" s="20">
        <f t="shared" si="36"/>
        <v>29.510793411231116</v>
      </c>
      <c r="T83" s="1">
        <f t="shared" si="37"/>
        <v>0</v>
      </c>
    </row>
    <row r="84" spans="1:20" x14ac:dyDescent="0.25">
      <c r="A84" s="20">
        <f t="shared" si="32"/>
        <v>0.79000000000000048</v>
      </c>
      <c r="C84" s="20">
        <f t="shared" si="22"/>
        <v>58.262473895328682</v>
      </c>
      <c r="D84" s="20">
        <f t="shared" si="25"/>
        <v>0.72914639542902449</v>
      </c>
      <c r="E84" s="20">
        <f t="shared" si="26"/>
        <v>15.875166458284879</v>
      </c>
      <c r="F84" s="20">
        <f t="shared" si="27"/>
        <v>0.61248297216038061</v>
      </c>
      <c r="G84" s="20">
        <f t="shared" si="28"/>
        <v>13.335139824959299</v>
      </c>
      <c r="I84" s="20">
        <f t="shared" si="23"/>
        <v>0.64170312395789486</v>
      </c>
      <c r="K84" s="20">
        <f t="shared" si="33"/>
        <v>46.672756769947611</v>
      </c>
      <c r="L84" s="20">
        <f t="shared" si="24"/>
        <v>-0.95071097125082304</v>
      </c>
      <c r="M84" s="20">
        <f t="shared" si="29"/>
        <v>-20.699128483579862</v>
      </c>
      <c r="N84" s="1">
        <f t="shared" si="34"/>
        <v>44.882887940506812</v>
      </c>
      <c r="P84" s="20">
        <f t="shared" si="35"/>
        <v>34.873623842342013</v>
      </c>
      <c r="Q84" s="20">
        <f t="shared" si="30"/>
        <v>-0.39636530892054994</v>
      </c>
      <c r="R84" s="20">
        <f t="shared" si="31"/>
        <v>-8.6297694082418896</v>
      </c>
      <c r="S84" s="20">
        <f t="shared" si="36"/>
        <v>29.859959697489209</v>
      </c>
      <c r="T84" s="1">
        <f t="shared" si="37"/>
        <v>0</v>
      </c>
    </row>
    <row r="85" spans="1:20" x14ac:dyDescent="0.25">
      <c r="A85" s="20">
        <f t="shared" si="32"/>
        <v>0.80000000000000049</v>
      </c>
      <c r="C85" s="20">
        <f t="shared" si="22"/>
        <v>58.045029267481588</v>
      </c>
      <c r="D85" s="20">
        <f t="shared" si="25"/>
        <v>0.72371397585259056</v>
      </c>
      <c r="E85" s="20">
        <f t="shared" si="26"/>
        <v>15.75689039522296</v>
      </c>
      <c r="F85" s="20">
        <f t="shared" si="27"/>
        <v>0.60791973971617608</v>
      </c>
      <c r="G85" s="20">
        <f t="shared" si="28"/>
        <v>13.235787931987288</v>
      </c>
      <c r="I85" s="20">
        <f t="shared" si="23"/>
        <v>0.64264662772710279</v>
      </c>
      <c r="K85" s="20">
        <f t="shared" si="33"/>
        <v>46.46576548511181</v>
      </c>
      <c r="L85" s="20">
        <f t="shared" si="24"/>
        <v>-0.94367815520118903</v>
      </c>
      <c r="M85" s="20">
        <f t="shared" si="29"/>
        <v>-20.546008168978641</v>
      </c>
      <c r="N85" s="1">
        <f t="shared" si="34"/>
        <v>45.348580551782113</v>
      </c>
      <c r="P85" s="20">
        <f t="shared" si="35"/>
        <v>34.787326148259595</v>
      </c>
      <c r="Q85" s="20">
        <f t="shared" si="30"/>
        <v>-0.39765951940337302</v>
      </c>
      <c r="R85" s="20">
        <f t="shared" si="31"/>
        <v>-8.6579472981357064</v>
      </c>
      <c r="S85" s="20">
        <f t="shared" si="36"/>
        <v>30.208264447442218</v>
      </c>
      <c r="T85" s="1">
        <f t="shared" si="37"/>
        <v>0</v>
      </c>
    </row>
    <row r="86" spans="1:20" x14ac:dyDescent="0.25">
      <c r="A86" s="20">
        <f t="shared" si="32"/>
        <v>0.8100000000000005</v>
      </c>
      <c r="C86" s="20">
        <f t="shared" si="22"/>
        <v>57.828692496369918</v>
      </c>
      <c r="D86" s="20">
        <f t="shared" si="25"/>
        <v>0.71832939143239405</v>
      </c>
      <c r="E86" s="20">
        <f t="shared" si="26"/>
        <v>15.639655811722056</v>
      </c>
      <c r="F86" s="20">
        <f t="shared" si="27"/>
        <v>0.60339668880321107</v>
      </c>
      <c r="G86" s="20">
        <f t="shared" si="28"/>
        <v>13.137310881846529</v>
      </c>
      <c r="I86" s="20">
        <f t="shared" si="23"/>
        <v>0.64357743938253198</v>
      </c>
      <c r="K86" s="20">
        <f t="shared" si="33"/>
        <v>46.260305403422024</v>
      </c>
      <c r="L86" s="20">
        <f t="shared" si="24"/>
        <v>-0.93670547149547034</v>
      </c>
      <c r="M86" s="20">
        <f t="shared" si="29"/>
        <v>-20.394197071532123</v>
      </c>
      <c r="N86" s="1">
        <f t="shared" si="34"/>
        <v>45.812210906224777</v>
      </c>
      <c r="P86" s="20">
        <f t="shared" si="35"/>
        <v>34.700746675278239</v>
      </c>
      <c r="Q86" s="20">
        <f t="shared" si="30"/>
        <v>-0.3989250829469283</v>
      </c>
      <c r="R86" s="20">
        <f t="shared" si="31"/>
        <v>-8.6855014793583347</v>
      </c>
      <c r="S86" s="20">
        <f t="shared" si="36"/>
        <v>30.555704811559909</v>
      </c>
      <c r="T86" s="1">
        <f t="shared" si="37"/>
        <v>0</v>
      </c>
    </row>
    <row r="87" spans="1:20" x14ac:dyDescent="0.25">
      <c r="A87" s="20">
        <f t="shared" si="32"/>
        <v>0.82000000000000051</v>
      </c>
      <c r="C87" s="20">
        <f t="shared" si="22"/>
        <v>57.61345423188348</v>
      </c>
      <c r="D87" s="20">
        <f t="shared" si="25"/>
        <v>0.71299210185613104</v>
      </c>
      <c r="E87" s="20">
        <f t="shared" si="26"/>
        <v>15.52345094396105</v>
      </c>
      <c r="F87" s="20">
        <f t="shared" si="27"/>
        <v>0.59891336555915009</v>
      </c>
      <c r="G87" s="20">
        <f t="shared" si="28"/>
        <v>13.039698792927283</v>
      </c>
      <c r="I87" s="20">
        <f t="shared" si="23"/>
        <v>0.6444955861939472</v>
      </c>
      <c r="K87" s="20">
        <f t="shared" si="33"/>
        <v>46.056363432706704</v>
      </c>
      <c r="L87" s="20">
        <f t="shared" si="24"/>
        <v>-0.92979229298789468</v>
      </c>
      <c r="M87" s="20">
        <f t="shared" si="29"/>
        <v>-20.243681536858148</v>
      </c>
      <c r="N87" s="1">
        <f t="shared" si="34"/>
        <v>46.273794250405416</v>
      </c>
      <c r="P87" s="20">
        <f t="shared" si="35"/>
        <v>34.613891660484654</v>
      </c>
      <c r="Q87" s="20">
        <f t="shared" si="30"/>
        <v>-0.40016250100886586</v>
      </c>
      <c r="R87" s="20">
        <f t="shared" si="31"/>
        <v>-8.7124428697771794</v>
      </c>
      <c r="S87" s="20">
        <f t="shared" si="36"/>
        <v>30.902278003238724</v>
      </c>
      <c r="T87" s="1">
        <f t="shared" si="37"/>
        <v>0</v>
      </c>
    </row>
    <row r="88" spans="1:20" x14ac:dyDescent="0.25">
      <c r="A88" s="20">
        <f t="shared" si="32"/>
        <v>0.83000000000000052</v>
      </c>
      <c r="C88" s="20">
        <f t="shared" si="22"/>
        <v>57.399305237138741</v>
      </c>
      <c r="D88" s="20">
        <f t="shared" si="25"/>
        <v>0.70770157462593319</v>
      </c>
      <c r="E88" s="20">
        <f t="shared" si="26"/>
        <v>15.408264198256765</v>
      </c>
      <c r="F88" s="20">
        <f t="shared" si="27"/>
        <v>0.5944693226857839</v>
      </c>
      <c r="G88" s="20">
        <f t="shared" si="28"/>
        <v>12.942941926535683</v>
      </c>
      <c r="I88" s="20">
        <f t="shared" si="23"/>
        <v>0.64540109486788211</v>
      </c>
      <c r="K88" s="20">
        <f t="shared" si="33"/>
        <v>45.853926617338125</v>
      </c>
      <c r="L88" s="20">
        <f t="shared" si="24"/>
        <v>-0.92293800041338303</v>
      </c>
      <c r="M88" s="20">
        <f t="shared" si="29"/>
        <v>-20.094448082155086</v>
      </c>
      <c r="N88" s="1">
        <f t="shared" si="34"/>
        <v>46.73334570065564</v>
      </c>
      <c r="P88" s="20">
        <f t="shared" si="35"/>
        <v>34.526767231786884</v>
      </c>
      <c r="Q88" s="20">
        <f t="shared" si="30"/>
        <v>-0.40137226611384902</v>
      </c>
      <c r="R88" s="20">
        <f t="shared" si="31"/>
        <v>-8.7387821927683227</v>
      </c>
      <c r="S88" s="20">
        <f t="shared" si="36"/>
        <v>31.247981297700083</v>
      </c>
      <c r="T88" s="1">
        <f t="shared" si="37"/>
        <v>0</v>
      </c>
    </row>
    <row r="89" spans="1:20" x14ac:dyDescent="0.25">
      <c r="A89" s="20">
        <f t="shared" si="32"/>
        <v>0.84000000000000052</v>
      </c>
      <c r="C89" s="20">
        <f t="shared" si="22"/>
        <v>57.186236386855668</v>
      </c>
      <c r="D89" s="20">
        <f t="shared" si="25"/>
        <v>0.70245728492273274</v>
      </c>
      <c r="E89" s="20">
        <f t="shared" si="26"/>
        <v>15.294084148110882</v>
      </c>
      <c r="F89" s="20">
        <f t="shared" si="27"/>
        <v>0.5900641193350955</v>
      </c>
      <c r="G89" s="20">
        <f t="shared" si="28"/>
        <v>12.84703068441314</v>
      </c>
      <c r="I89" s="20">
        <f t="shared" si="23"/>
        <v>0.64629399155148592</v>
      </c>
      <c r="K89" s="20">
        <f t="shared" si="33"/>
        <v>45.652982136516577</v>
      </c>
      <c r="L89" s="20">
        <f t="shared" si="24"/>
        <v>-0.91614198227270149</v>
      </c>
      <c r="M89" s="20">
        <f t="shared" si="29"/>
        <v>-19.946483393701318</v>
      </c>
      <c r="N89" s="1">
        <f t="shared" si="34"/>
        <v>47.190880244424918</v>
      </c>
      <c r="P89" s="20">
        <f t="shared" si="35"/>
        <v>34.4393794098592</v>
      </c>
      <c r="Q89" s="20">
        <f t="shared" si="30"/>
        <v>-0.40255486202910895</v>
      </c>
      <c r="R89" s="20">
        <f t="shared" si="31"/>
        <v>-8.7645299810387325</v>
      </c>
      <c r="S89" s="20">
        <f t="shared" si="36"/>
        <v>31.592812030908316</v>
      </c>
      <c r="T89" s="1">
        <f t="shared" si="37"/>
        <v>0</v>
      </c>
    </row>
    <row r="90" spans="1:20" x14ac:dyDescent="0.25">
      <c r="A90" s="20">
        <f t="shared" si="32"/>
        <v>0.85000000000000053</v>
      </c>
      <c r="C90" s="20">
        <f t="shared" si="22"/>
        <v>56.974238665763586</v>
      </c>
      <c r="D90" s="20">
        <f t="shared" si="25"/>
        <v>0.69725871547338136</v>
      </c>
      <c r="E90" s="20">
        <f t="shared" si="26"/>
        <v>15.180899531316816</v>
      </c>
      <c r="F90" s="20">
        <f t="shared" si="27"/>
        <v>0.58569732099764027</v>
      </c>
      <c r="G90" s="20">
        <f t="shared" si="28"/>
        <v>12.751955606306124</v>
      </c>
      <c r="I90" s="20">
        <f t="shared" si="23"/>
        <v>0.64717430183629943</v>
      </c>
      <c r="K90" s="20">
        <f t="shared" si="33"/>
        <v>45.453517302579563</v>
      </c>
      <c r="L90" s="20">
        <f t="shared" si="24"/>
        <v>-0.90940363471951591</v>
      </c>
      <c r="M90" s="20">
        <f t="shared" si="29"/>
        <v>-19.799774324396168</v>
      </c>
      <c r="N90" s="1">
        <f t="shared" si="34"/>
        <v>47.646412741620395</v>
      </c>
      <c r="P90" s="20">
        <f t="shared" si="35"/>
        <v>34.35173411004881</v>
      </c>
      <c r="Q90" s="20">
        <f t="shared" si="30"/>
        <v>-0.40371076393614608</v>
      </c>
      <c r="R90" s="20">
        <f t="shared" si="31"/>
        <v>-8.7896965803646001</v>
      </c>
      <c r="S90" s="20">
        <f t="shared" si="36"/>
        <v>31.936767598507856</v>
      </c>
      <c r="T90" s="1">
        <f t="shared" si="37"/>
        <v>0</v>
      </c>
    </row>
    <row r="91" spans="1:20" x14ac:dyDescent="0.25">
      <c r="A91" s="20">
        <f t="shared" si="32"/>
        <v>0.86000000000000054</v>
      </c>
      <c r="C91" s="20">
        <f t="shared" si="22"/>
        <v>56.763303167035318</v>
      </c>
      <c r="D91" s="20">
        <f t="shared" si="25"/>
        <v>0.69210535642045579</v>
      </c>
      <c r="E91" s="20">
        <f t="shared" si="26"/>
        <v>15.0686992471251</v>
      </c>
      <c r="F91" s="20">
        <f t="shared" si="27"/>
        <v>0.58136849939318291</v>
      </c>
      <c r="G91" s="20">
        <f t="shared" si="28"/>
        <v>12.657707367585084</v>
      </c>
      <c r="I91" s="20">
        <f t="shared" si="23"/>
        <v>0.64804205076195864</v>
      </c>
      <c r="K91" s="20">
        <f t="shared" si="33"/>
        <v>45.255519559335603</v>
      </c>
      <c r="L91" s="20">
        <f t="shared" si="24"/>
        <v>-0.90272236144930762</v>
      </c>
      <c r="M91" s="20">
        <f t="shared" si="29"/>
        <v>-19.65430789134134</v>
      </c>
      <c r="N91" s="1">
        <f t="shared" si="34"/>
        <v>48.099957925929971</v>
      </c>
      <c r="P91" s="20">
        <f t="shared" si="35"/>
        <v>34.263837144245166</v>
      </c>
      <c r="Q91" s="20">
        <f t="shared" si="30"/>
        <v>-0.40484043859867302</v>
      </c>
      <c r="R91" s="20">
        <f t="shared" si="31"/>
        <v>-8.814292153247834</v>
      </c>
      <c r="S91" s="20">
        <f t="shared" si="36"/>
        <v>32.279845454779327</v>
      </c>
      <c r="T91" s="1">
        <f t="shared" si="37"/>
        <v>0</v>
      </c>
    </row>
    <row r="92" spans="1:20" x14ac:dyDescent="0.25">
      <c r="A92" s="20">
        <f t="shared" si="32"/>
        <v>0.87000000000000055</v>
      </c>
      <c r="C92" s="20">
        <f t="shared" si="22"/>
        <v>56.553421090749204</v>
      </c>
      <c r="D92" s="20">
        <f t="shared" si="25"/>
        <v>0.68699670519469236</v>
      </c>
      <c r="E92" s="20">
        <f t="shared" si="26"/>
        <v>14.957472353465977</v>
      </c>
      <c r="F92" s="20">
        <f t="shared" si="27"/>
        <v>0.57707723236354158</v>
      </c>
      <c r="G92" s="20">
        <f t="shared" si="28"/>
        <v>12.564276776911422</v>
      </c>
      <c r="I92" s="20">
        <f t="shared" si="23"/>
        <v>0.64889726281982918</v>
      </c>
      <c r="K92" s="20">
        <f t="shared" si="33"/>
        <v>45.058976480422189</v>
      </c>
      <c r="L92" s="20">
        <f t="shared" si="24"/>
        <v>-0.89609757359012376</v>
      </c>
      <c r="M92" s="20">
        <f t="shared" si="29"/>
        <v>-19.510071273462309</v>
      </c>
      <c r="N92" s="1">
        <f t="shared" si="34"/>
        <v>48.551530406128762</v>
      </c>
      <c r="P92" s="20">
        <f t="shared" si="35"/>
        <v>34.175694222712686</v>
      </c>
      <c r="Q92" s="20">
        <f t="shared" si="30"/>
        <v>-0.40594434452689071</v>
      </c>
      <c r="R92" s="20">
        <f t="shared" si="31"/>
        <v>-8.8383266824927222</v>
      </c>
      <c r="S92" s="20">
        <f t="shared" si="36"/>
        <v>32.622043111614119</v>
      </c>
      <c r="T92" s="1">
        <f t="shared" si="37"/>
        <v>0</v>
      </c>
    </row>
    <row r="93" spans="1:20" x14ac:dyDescent="0.25">
      <c r="A93" s="20">
        <f t="shared" si="32"/>
        <v>0.88000000000000056</v>
      </c>
      <c r="C93" s="20">
        <f t="shared" si="22"/>
        <v>56.344583742378376</v>
      </c>
      <c r="D93" s="20">
        <f t="shared" si="25"/>
        <v>0.68193226638998772</v>
      </c>
      <c r="E93" s="20">
        <f t="shared" si="26"/>
        <v>14.847208064227907</v>
      </c>
      <c r="F93" s="20">
        <f t="shared" si="27"/>
        <v>0.57282310376758971</v>
      </c>
      <c r="G93" s="20">
        <f t="shared" si="28"/>
        <v>12.471654773951443</v>
      </c>
      <c r="I93" s="20">
        <f t="shared" si="23"/>
        <v>0.64973996195657091</v>
      </c>
      <c r="K93" s="20">
        <f t="shared" si="33"/>
        <v>44.863875767687567</v>
      </c>
      <c r="L93" s="20">
        <f t="shared" si="24"/>
        <v>-0.8895286895951251</v>
      </c>
      <c r="M93" s="20">
        <f t="shared" si="29"/>
        <v>-19.367051809168846</v>
      </c>
      <c r="N93" s="1">
        <f t="shared" si="34"/>
        <v>49.00114466736931</v>
      </c>
      <c r="P93" s="20">
        <f t="shared" si="35"/>
        <v>34.087310955887759</v>
      </c>
      <c r="Q93" s="20">
        <f t="shared" si="30"/>
        <v>-0.40702293213818264</v>
      </c>
      <c r="R93" s="20">
        <f t="shared" si="31"/>
        <v>-8.8618099747046077</v>
      </c>
      <c r="S93" s="20">
        <f t="shared" si="36"/>
        <v>32.963358137507122</v>
      </c>
      <c r="T93" s="1">
        <f t="shared" si="37"/>
        <v>0</v>
      </c>
    </row>
    <row r="94" spans="1:20" x14ac:dyDescent="0.25">
      <c r="A94" s="20">
        <f t="shared" si="32"/>
        <v>0.89000000000000057</v>
      </c>
      <c r="C94" s="20">
        <f t="shared" si="22"/>
        <v>56.136782531306665</v>
      </c>
      <c r="D94" s="20">
        <f t="shared" si="25"/>
        <v>0.67691155164090588</v>
      </c>
      <c r="E94" s="20">
        <f t="shared" si="26"/>
        <v>14.737895746590592</v>
      </c>
      <c r="F94" s="20">
        <f t="shared" si="27"/>
        <v>0.56860570337836092</v>
      </c>
      <c r="G94" s="20">
        <f t="shared" si="28"/>
        <v>12.379832427136098</v>
      </c>
      <c r="I94" s="20">
        <f t="shared" si="23"/>
        <v>0.65057017157763641</v>
      </c>
      <c r="K94" s="20">
        <f t="shared" si="33"/>
        <v>44.670205249595881</v>
      </c>
      <c r="L94" s="20">
        <f t="shared" si="24"/>
        <v>-0.88301513513689844</v>
      </c>
      <c r="M94" s="20">
        <f t="shared" si="29"/>
        <v>-19.225236994053962</v>
      </c>
      <c r="N94" s="1">
        <f t="shared" si="34"/>
        <v>49.44881507245573</v>
      </c>
      <c r="P94" s="20">
        <f t="shared" si="35"/>
        <v>33.998692856140714</v>
      </c>
      <c r="Q94" s="20">
        <f t="shared" si="30"/>
        <v>-0.40807664391432225</v>
      </c>
      <c r="R94" s="20">
        <f t="shared" si="31"/>
        <v>-8.884751663712656</v>
      </c>
      <c r="S94" s="20">
        <f t="shared" si="36"/>
        <v>33.303788156567265</v>
      </c>
      <c r="T94" s="1">
        <f t="shared" si="37"/>
        <v>0</v>
      </c>
    </row>
    <row r="95" spans="1:20" x14ac:dyDescent="0.25">
      <c r="A95" s="20">
        <f t="shared" si="32"/>
        <v>0.90000000000000058</v>
      </c>
      <c r="C95" s="20">
        <f t="shared" si="22"/>
        <v>55.93000896937076</v>
      </c>
      <c r="D95" s="20">
        <f t="shared" si="25"/>
        <v>0.67193407950263717</v>
      </c>
      <c r="E95" s="20">
        <f t="shared" si="26"/>
        <v>14.629524918411434</v>
      </c>
      <c r="F95" s="20">
        <f t="shared" si="27"/>
        <v>0.56442462678221528</v>
      </c>
      <c r="G95" s="20">
        <f t="shared" si="28"/>
        <v>12.288800931465607</v>
      </c>
      <c r="I95" s="20">
        <f t="shared" si="23"/>
        <v>0.65138791455070066</v>
      </c>
      <c r="K95" s="20">
        <f t="shared" si="33"/>
        <v>44.477952879655341</v>
      </c>
      <c r="L95" s="20">
        <f t="shared" si="24"/>
        <v>-0.87655634300350438</v>
      </c>
      <c r="M95" s="20">
        <f t="shared" si="29"/>
        <v>-19.08461447863062</v>
      </c>
      <c r="N95" s="1">
        <f t="shared" si="34"/>
        <v>49.894555863101985</v>
      </c>
      <c r="P95" s="20">
        <f t="shared" si="35"/>
        <v>33.90984533950359</v>
      </c>
      <c r="Q95" s="20">
        <f t="shared" si="30"/>
        <v>-0.40910591455526674</v>
      </c>
      <c r="R95" s="20">
        <f t="shared" si="31"/>
        <v>-8.9071612139182825</v>
      </c>
      <c r="S95" s="20">
        <f t="shared" si="36"/>
        <v>33.643330847545485</v>
      </c>
      <c r="T95" s="1">
        <f t="shared" si="37"/>
        <v>0</v>
      </c>
    </row>
    <row r="96" spans="1:20" x14ac:dyDescent="0.25">
      <c r="A96" s="20">
        <f t="shared" si="32"/>
        <v>0.91000000000000059</v>
      </c>
      <c r="C96" s="20">
        <f t="shared" si="22"/>
        <v>55.724254669427964</v>
      </c>
      <c r="D96" s="20">
        <f t="shared" si="25"/>
        <v>0.6669993753333503</v>
      </c>
      <c r="E96" s="20">
        <f t="shared" si="26"/>
        <v>14.52208524566406</v>
      </c>
      <c r="F96" s="20">
        <f t="shared" si="27"/>
        <v>0.56027947528001421</v>
      </c>
      <c r="G96" s="20">
        <f t="shared" si="28"/>
        <v>12.19855160635781</v>
      </c>
      <c r="I96" s="20">
        <f t="shared" si="23"/>
        <v>0.65219321320902712</v>
      </c>
      <c r="K96" s="20">
        <f t="shared" si="33"/>
        <v>44.287106734869035</v>
      </c>
      <c r="L96" s="20">
        <f t="shared" si="24"/>
        <v>-0.87015175299622594</v>
      </c>
      <c r="M96" s="20">
        <f t="shared" si="29"/>
        <v>-18.945172066105506</v>
      </c>
      <c r="N96" s="1">
        <f t="shared" si="34"/>
        <v>50.338381161174603</v>
      </c>
      <c r="P96" s="20">
        <f t="shared" si="35"/>
        <v>33.820773727364404</v>
      </c>
      <c r="Q96" s="20">
        <f t="shared" si="30"/>
        <v>-0.41011117112962908</v>
      </c>
      <c r="R96" s="20">
        <f t="shared" si="31"/>
        <v>-8.9290479235712841</v>
      </c>
      <c r="S96" s="20">
        <f t="shared" si="36"/>
        <v>33.981983942879829</v>
      </c>
      <c r="T96" s="1">
        <f t="shared" si="37"/>
        <v>0</v>
      </c>
    </row>
    <row r="97" spans="1:20" x14ac:dyDescent="0.25">
      <c r="A97" s="20">
        <f t="shared" si="32"/>
        <v>0.9200000000000006</v>
      </c>
      <c r="C97" s="20">
        <f t="shared" si="22"/>
        <v>55.519511343949063</v>
      </c>
      <c r="D97" s="20">
        <f t="shared" si="25"/>
        <v>0.6621069711788834</v>
      </c>
      <c r="E97" s="20">
        <f t="shared" si="26"/>
        <v>14.41556653992779</v>
      </c>
      <c r="F97" s="20">
        <f t="shared" si="27"/>
        <v>0.55616985579026212</v>
      </c>
      <c r="G97" s="20">
        <f t="shared" si="28"/>
        <v>12.109075893539346</v>
      </c>
      <c r="I97" s="20">
        <f t="shared" si="23"/>
        <v>0.65298608935476887</v>
      </c>
      <c r="K97" s="20">
        <f t="shared" si="33"/>
        <v>44.09765501420798</v>
      </c>
      <c r="L97" s="20">
        <f t="shared" si="24"/>
        <v>-0.86380081182898827</v>
      </c>
      <c r="M97" s="20">
        <f t="shared" si="29"/>
        <v>-18.806897710189165</v>
      </c>
      <c r="N97" s="1">
        <f t="shared" si="34"/>
        <v>50.780304969919989</v>
      </c>
      <c r="P97" s="20">
        <f t="shared" si="35"/>
        <v>33.73148324812869</v>
      </c>
      <c r="Q97" s="20">
        <f t="shared" si="30"/>
        <v>-0.41109283322190132</v>
      </c>
      <c r="R97" s="20">
        <f t="shared" si="31"/>
        <v>-8.9504209279752089</v>
      </c>
      <c r="S97" s="20">
        <f t="shared" si="36"/>
        <v>34.319745227757295</v>
      </c>
      <c r="T97" s="1">
        <f t="shared" si="37"/>
        <v>0</v>
      </c>
    </row>
    <row r="98" spans="1:20" x14ac:dyDescent="0.25">
      <c r="A98" s="20">
        <f t="shared" si="32"/>
        <v>0.9300000000000006</v>
      </c>
      <c r="C98" s="20">
        <f t="shared" si="22"/>
        <v>55.315770803635857</v>
      </c>
      <c r="D98" s="20">
        <f t="shared" si="25"/>
        <v>0.65725640565972265</v>
      </c>
      <c r="E98" s="20">
        <f t="shared" si="26"/>
        <v>14.309958755926903</v>
      </c>
      <c r="F98" s="20">
        <f t="shared" si="27"/>
        <v>0.55209538075416709</v>
      </c>
      <c r="G98" s="20">
        <f t="shared" si="28"/>
        <v>12.020365354978599</v>
      </c>
      <c r="I98" s="20">
        <f t="shared" si="23"/>
        <v>0.65376656426220603</v>
      </c>
      <c r="K98" s="20">
        <f t="shared" si="33"/>
        <v>43.909586037106088</v>
      </c>
      <c r="L98" s="20">
        <f t="shared" si="24"/>
        <v>-0.85750297302941936</v>
      </c>
      <c r="M98" s="20">
        <f t="shared" si="29"/>
        <v>-18.669779512941854</v>
      </c>
      <c r="N98" s="1">
        <f t="shared" si="34"/>
        <v>51.220341175176564</v>
      </c>
      <c r="P98" s="20">
        <f t="shared" si="35"/>
        <v>33.641979038848937</v>
      </c>
      <c r="Q98" s="20">
        <f t="shared" si="30"/>
        <v>-0.41205131307651127</v>
      </c>
      <c r="R98" s="20">
        <f t="shared" si="31"/>
        <v>-8.9712892026238027</v>
      </c>
      <c r="S98" s="20">
        <f t="shared" si="36"/>
        <v>34.656612539192189</v>
      </c>
      <c r="T98" s="1">
        <f t="shared" si="37"/>
        <v>0</v>
      </c>
    </row>
    <row r="99" spans="1:20" x14ac:dyDescent="0.25">
      <c r="A99" s="20">
        <f t="shared" si="32"/>
        <v>0.94000000000000061</v>
      </c>
      <c r="C99" s="20">
        <f t="shared" si="22"/>
        <v>55.113024956062851</v>
      </c>
      <c r="D99" s="20">
        <f t="shared" si="25"/>
        <v>0.65244722386021559</v>
      </c>
      <c r="E99" s="20">
        <f t="shared" si="26"/>
        <v>14.205251989118564</v>
      </c>
      <c r="F99" s="20">
        <f t="shared" si="27"/>
        <v>0.5480556680425811</v>
      </c>
      <c r="G99" s="20">
        <f t="shared" si="28"/>
        <v>11.932411670859594</v>
      </c>
      <c r="I99" s="20">
        <f t="shared" si="23"/>
        <v>0.65453465868092131</v>
      </c>
      <c r="K99" s="20">
        <f t="shared" si="33"/>
        <v>43.722888241976669</v>
      </c>
      <c r="L99" s="20">
        <f t="shared" si="24"/>
        <v>-0.85125769684152464</v>
      </c>
      <c r="M99" s="20">
        <f t="shared" si="29"/>
        <v>-18.533805722654577</v>
      </c>
      <c r="N99" s="1">
        <f t="shared" si="34"/>
        <v>51.658503546571978</v>
      </c>
      <c r="P99" s="20">
        <f t="shared" si="35"/>
        <v>33.552266146822703</v>
      </c>
      <c r="Q99" s="20">
        <f t="shared" si="30"/>
        <v>-0.41298701573878388</v>
      </c>
      <c r="R99" s="20">
        <f t="shared" si="31"/>
        <v>-8.9916615662700607</v>
      </c>
      <c r="S99" s="20">
        <f t="shared" si="36"/>
        <v>34.99258376512055</v>
      </c>
      <c r="T99" s="1">
        <f t="shared" si="37"/>
        <v>0</v>
      </c>
    </row>
    <row r="100" spans="1:20" x14ac:dyDescent="0.25">
      <c r="A100" s="20">
        <f t="shared" si="32"/>
        <v>0.95000000000000062</v>
      </c>
      <c r="C100" s="20">
        <f t="shared" si="22"/>
        <v>54.911265804342548</v>
      </c>
      <c r="D100" s="20">
        <f t="shared" si="25"/>
        <v>0.64767897721996703</v>
      </c>
      <c r="E100" s="20">
        <f t="shared" si="26"/>
        <v>14.101436473328262</v>
      </c>
      <c r="F100" s="20">
        <f t="shared" si="27"/>
        <v>0.54405034086477233</v>
      </c>
      <c r="G100" s="20">
        <f t="shared" si="28"/>
        <v>11.845206637595741</v>
      </c>
      <c r="I100" s="20">
        <f t="shared" si="23"/>
        <v>0.65529039283891388</v>
      </c>
      <c r="K100" s="20">
        <f t="shared" si="33"/>
        <v>43.537550184750124</v>
      </c>
      <c r="L100" s="20">
        <f t="shared" si="24"/>
        <v>-0.8450644501299398</v>
      </c>
      <c r="M100" s="20">
        <f t="shared" si="29"/>
        <v>-18.398964731764419</v>
      </c>
      <c r="N100" s="1">
        <f t="shared" si="34"/>
        <v>52.09480573870561</v>
      </c>
      <c r="P100" s="20">
        <f t="shared" si="35"/>
        <v>33.462349531160001</v>
      </c>
      <c r="Q100" s="20">
        <f t="shared" si="30"/>
        <v>-0.41390033919288582</v>
      </c>
      <c r="R100" s="20">
        <f t="shared" si="31"/>
        <v>-9.0115466839295841</v>
      </c>
      <c r="S100" s="20">
        <f t="shared" si="36"/>
        <v>35.327656843510461</v>
      </c>
      <c r="T100" s="1">
        <f t="shared" si="37"/>
        <v>0</v>
      </c>
    </row>
    <row r="101" spans="1:20" x14ac:dyDescent="0.25">
      <c r="A101" s="20">
        <f t="shared" si="32"/>
        <v>0.96000000000000063</v>
      </c>
      <c r="C101" s="20">
        <f t="shared" si="22"/>
        <v>54.710485445814037</v>
      </c>
      <c r="D101" s="20">
        <f t="shared" si="25"/>
        <v>0.6429512234273721</v>
      </c>
      <c r="E101" s="20">
        <f t="shared" si="26"/>
        <v>13.99850257843179</v>
      </c>
      <c r="F101" s="20">
        <f t="shared" si="27"/>
        <v>0.54007902767899252</v>
      </c>
      <c r="G101" s="20">
        <f t="shared" si="28"/>
        <v>11.758742165882703</v>
      </c>
      <c r="I101" s="20">
        <f t="shared" si="23"/>
        <v>0.65603378644565413</v>
      </c>
      <c r="K101" s="20">
        <f t="shared" si="33"/>
        <v>43.353560537432479</v>
      </c>
      <c r="L101" s="20">
        <f t="shared" si="24"/>
        <v>-0.8389227062857405</v>
      </c>
      <c r="M101" s="20">
        <f t="shared" si="29"/>
        <v>-18.265245074803843</v>
      </c>
      <c r="N101" s="1">
        <f t="shared" si="34"/>
        <v>52.529261292316527</v>
      </c>
      <c r="P101" s="20">
        <f t="shared" si="35"/>
        <v>33.372234064320708</v>
      </c>
      <c r="Q101" s="20">
        <f t="shared" si="30"/>
        <v>-0.41479167449682086</v>
      </c>
      <c r="R101" s="20">
        <f t="shared" si="31"/>
        <v>-9.0309530698197449</v>
      </c>
      <c r="S101" s="20">
        <f t="shared" si="36"/>
        <v>35.661829761487859</v>
      </c>
      <c r="T101" s="1">
        <f t="shared" si="37"/>
        <v>0</v>
      </c>
    </row>
    <row r="102" spans="1:20" x14ac:dyDescent="0.25">
      <c r="A102" s="20">
        <f t="shared" si="32"/>
        <v>0.97000000000000064</v>
      </c>
      <c r="C102" s="20">
        <f t="shared" si="22"/>
        <v>54.510676070754251</v>
      </c>
      <c r="D102" s="20">
        <f t="shared" si="25"/>
        <v>0.63826352631523509</v>
      </c>
      <c r="E102" s="20">
        <f t="shared" si="26"/>
        <v>13.896440808082628</v>
      </c>
      <c r="F102" s="20">
        <f t="shared" si="27"/>
        <v>0.53614136210479757</v>
      </c>
      <c r="G102" s="20">
        <f t="shared" si="28"/>
        <v>11.673010278789409</v>
      </c>
      <c r="I102" s="20">
        <f t="shared" si="23"/>
        <v>0.65676485869507772</v>
      </c>
      <c r="K102" s="20">
        <f t="shared" si="33"/>
        <v>43.170908086684442</v>
      </c>
      <c r="L102" s="20">
        <f t="shared" si="24"/>
        <v>-0.83283194513377823</v>
      </c>
      <c r="M102" s="20">
        <f t="shared" si="29"/>
        <v>-18.132635426383153</v>
      </c>
      <c r="N102" s="1">
        <f t="shared" si="34"/>
        <v>52.961883635437111</v>
      </c>
      <c r="P102" s="20">
        <f t="shared" si="35"/>
        <v>33.281924533622508</v>
      </c>
      <c r="Q102" s="20">
        <f t="shared" si="30"/>
        <v>-0.41566140591454753</v>
      </c>
      <c r="R102" s="20">
        <f t="shared" si="31"/>
        <v>-9.0498890902361762</v>
      </c>
      <c r="S102" s="20">
        <f t="shared" si="36"/>
        <v>35.995100554477574</v>
      </c>
      <c r="T102" s="1">
        <f t="shared" si="37"/>
        <v>0</v>
      </c>
    </row>
    <row r="103" spans="1:20" x14ac:dyDescent="0.25">
      <c r="A103" s="20">
        <f t="shared" si="32"/>
        <v>0.98000000000000065</v>
      </c>
      <c r="C103" s="20">
        <f t="shared" si="22"/>
        <v>54.311829961111535</v>
      </c>
      <c r="D103" s="20">
        <f t="shared" si="25"/>
        <v>0.63361545575842859</v>
      </c>
      <c r="E103" s="20">
        <f t="shared" si="26"/>
        <v>13.795241797483749</v>
      </c>
      <c r="F103" s="20">
        <f t="shared" si="27"/>
        <v>0.53223698283707999</v>
      </c>
      <c r="G103" s="20">
        <f t="shared" si="28"/>
        <v>11.588003109886349</v>
      </c>
      <c r="I103" s="20">
        <f t="shared" si="23"/>
        <v>0.6574836282685228</v>
      </c>
      <c r="K103" s="20">
        <f t="shared" si="33"/>
        <v>42.989581732420611</v>
      </c>
      <c r="L103" s="20">
        <f t="shared" si="24"/>
        <v>-0.82679165284151201</v>
      </c>
      <c r="M103" s="20">
        <f t="shared" si="29"/>
        <v>-18.001124599205575</v>
      </c>
      <c r="N103" s="1">
        <f t="shared" si="34"/>
        <v>53.392686084532635</v>
      </c>
      <c r="P103" s="20">
        <f t="shared" si="35"/>
        <v>33.191425642720148</v>
      </c>
      <c r="Q103" s="20">
        <f t="shared" si="30"/>
        <v>-0.41650991104528889</v>
      </c>
      <c r="R103" s="20">
        <f t="shared" si="31"/>
        <v>-9.0683629663681451</v>
      </c>
      <c r="S103" s="20">
        <f t="shared" si="36"/>
        <v>36.327467305359285</v>
      </c>
      <c r="T103" s="1">
        <f t="shared" si="37"/>
        <v>0</v>
      </c>
    </row>
    <row r="104" spans="1:20" x14ac:dyDescent="0.25">
      <c r="A104" s="20">
        <f t="shared" si="32"/>
        <v>0.99000000000000066</v>
      </c>
      <c r="C104" s="20">
        <f t="shared" si="22"/>
        <v>54.113939489261142</v>
      </c>
      <c r="D104" s="20">
        <f t="shared" si="25"/>
        <v>0.62900658757354821</v>
      </c>
      <c r="E104" s="20">
        <f t="shared" si="26"/>
        <v>13.694896311202879</v>
      </c>
      <c r="F104" s="20">
        <f t="shared" si="27"/>
        <v>0.52836553356178051</v>
      </c>
      <c r="G104" s="20">
        <f t="shared" si="28"/>
        <v>11.503712901410418</v>
      </c>
      <c r="I104" s="20">
        <f t="shared" si="23"/>
        <v>0.65819011333760891</v>
      </c>
      <c r="K104" s="20">
        <f t="shared" si="33"/>
        <v>42.809570486428555</v>
      </c>
      <c r="L104" s="20">
        <f t="shared" si="24"/>
        <v>-0.82080132182931531</v>
      </c>
      <c r="M104" s="20">
        <f t="shared" si="29"/>
        <v>-17.870701542114421</v>
      </c>
      <c r="N104" s="1">
        <f t="shared" si="34"/>
        <v>53.821681845626884</v>
      </c>
      <c r="P104" s="20">
        <f t="shared" si="35"/>
        <v>33.100742013056468</v>
      </c>
      <c r="Q104" s="20">
        <f t="shared" si="30"/>
        <v>-0.41733756095009478</v>
      </c>
      <c r="R104" s="20">
        <f t="shared" si="31"/>
        <v>-9.0863827770540997</v>
      </c>
      <c r="S104" s="20">
        <f t="shared" si="36"/>
        <v>36.658928143638171</v>
      </c>
      <c r="T104" s="1">
        <f t="shared" si="37"/>
        <v>0</v>
      </c>
    </row>
    <row r="105" spans="1:20" x14ac:dyDescent="0.25">
      <c r="A105" s="20">
        <f t="shared" si="32"/>
        <v>1.0000000000000007</v>
      </c>
      <c r="C105" s="20">
        <f t="shared" si="22"/>
        <v>53.916997116782106</v>
      </c>
      <c r="D105" s="20">
        <f t="shared" si="25"/>
        <v>0.62443650342051671</v>
      </c>
      <c r="E105" s="20">
        <f t="shared" si="26"/>
        <v>13.595395241030193</v>
      </c>
      <c r="F105" s="20">
        <f t="shared" si="27"/>
        <v>0.52452666287323402</v>
      </c>
      <c r="G105" s="20">
        <f t="shared" si="28"/>
        <v>11.420132002465362</v>
      </c>
      <c r="I105" s="20">
        <f t="shared" si="23"/>
        <v>0.65888433156706028</v>
      </c>
      <c r="K105" s="20">
        <f t="shared" si="33"/>
        <v>42.630863471007409</v>
      </c>
      <c r="L105" s="20">
        <f t="shared" si="24"/>
        <v>-0.81486045068222501</v>
      </c>
      <c r="M105" s="20">
        <f t="shared" si="29"/>
        <v>-17.741355338171676</v>
      </c>
      <c r="N105" s="1">
        <f t="shared" si="34"/>
        <v>54.248884015414063</v>
      </c>
      <c r="P105" s="20">
        <f t="shared" si="35"/>
        <v>33.009878185285928</v>
      </c>
      <c r="Q105" s="20">
        <f t="shared" si="30"/>
        <v>-0.41814472027572946</v>
      </c>
      <c r="R105" s="20">
        <f t="shared" si="31"/>
        <v>-9.1039564614789779</v>
      </c>
      <c r="S105" s="20">
        <f t="shared" si="36"/>
        <v>36.989481244629886</v>
      </c>
      <c r="T105" s="1">
        <f t="shared" si="37"/>
        <v>0</v>
      </c>
    </row>
    <row r="106" spans="1:20" x14ac:dyDescent="0.25">
      <c r="A106" s="20">
        <f t="shared" si="32"/>
        <v>1.0100000000000007</v>
      </c>
      <c r="C106" s="20">
        <f t="shared" si="22"/>
        <v>53.720995393255158</v>
      </c>
      <c r="D106" s="20">
        <f t="shared" si="25"/>
        <v>0.6199047907060965</v>
      </c>
      <c r="E106" s="20">
        <f t="shared" si="26"/>
        <v>13.496729603877563</v>
      </c>
      <c r="F106" s="20">
        <f t="shared" si="27"/>
        <v>0.52072002419312102</v>
      </c>
      <c r="G106" s="20">
        <f t="shared" si="28"/>
        <v>11.337252867257153</v>
      </c>
      <c r="I106" s="20">
        <f t="shared" si="23"/>
        <v>0.65956630011747353</v>
      </c>
      <c r="K106" s="20">
        <f t="shared" si="33"/>
        <v>42.45344991762569</v>
      </c>
      <c r="L106" s="20">
        <f t="shared" si="24"/>
        <v>-0.80896854406311292</v>
      </c>
      <c r="M106" s="20">
        <f t="shared" si="29"/>
        <v>-17.613075202767536</v>
      </c>
      <c r="N106" s="1">
        <f t="shared" si="34"/>
        <v>54.674305582357228</v>
      </c>
      <c r="P106" s="20">
        <f t="shared" si="35"/>
        <v>32.918838620671139</v>
      </c>
      <c r="Q106" s="20">
        <f t="shared" si="30"/>
        <v>-0.41893174737593958</v>
      </c>
      <c r="R106" s="20">
        <f t="shared" si="31"/>
        <v>-9.1210918218144919</v>
      </c>
      <c r="S106" s="20">
        <f t="shared" si="36"/>
        <v>37.319124828659675</v>
      </c>
      <c r="T106" s="1">
        <f t="shared" si="37"/>
        <v>0</v>
      </c>
    </row>
    <row r="107" spans="1:20" x14ac:dyDescent="0.25">
      <c r="A107" s="20">
        <f t="shared" si="32"/>
        <v>1.0200000000000007</v>
      </c>
      <c r="C107" s="20">
        <f t="shared" si="22"/>
        <v>53.525926955081317</v>
      </c>
      <c r="D107" s="20">
        <f t="shared" si="25"/>
        <v>0.61541104248926615</v>
      </c>
      <c r="E107" s="20">
        <f t="shared" si="26"/>
        <v>13.398890539718401</v>
      </c>
      <c r="F107" s="20">
        <f t="shared" si="27"/>
        <v>0.51694527569098359</v>
      </c>
      <c r="G107" s="20">
        <f t="shared" si="28"/>
        <v>11.255068053363457</v>
      </c>
      <c r="I107" s="20">
        <f t="shared" si="23"/>
        <v>0.66023603564803091</v>
      </c>
      <c r="K107" s="20">
        <f t="shared" si="33"/>
        <v>42.277319165598016</v>
      </c>
      <c r="L107" s="20">
        <f t="shared" si="24"/>
        <v>-0.80312511262725006</v>
      </c>
      <c r="M107" s="20">
        <f t="shared" si="29"/>
        <v>-17.485850481760288</v>
      </c>
      <c r="N107" s="1">
        <f t="shared" si="34"/>
        <v>55.09795942777334</v>
      </c>
      <c r="P107" s="20">
        <f t="shared" si="35"/>
        <v>32.827627702452993</v>
      </c>
      <c r="Q107" s="20">
        <f t="shared" si="30"/>
        <v>-0.4196989944301685</v>
      </c>
      <c r="R107" s="20">
        <f t="shared" si="31"/>
        <v>-9.1377965258038003</v>
      </c>
      <c r="S107" s="20">
        <f t="shared" si="36"/>
        <v>37.647857160275294</v>
      </c>
      <c r="T107" s="1">
        <f t="shared" si="37"/>
        <v>0</v>
      </c>
    </row>
    <row r="108" spans="1:20" x14ac:dyDescent="0.25">
      <c r="A108" s="20">
        <f t="shared" si="32"/>
        <v>1.0300000000000007</v>
      </c>
      <c r="C108" s="20">
        <f t="shared" si="22"/>
        <v>53.331784524320568</v>
      </c>
      <c r="D108" s="20">
        <f t="shared" si="25"/>
        <v>0.61095485738841937</v>
      </c>
      <c r="E108" s="20">
        <f t="shared" si="26"/>
        <v>13.301869309567154</v>
      </c>
      <c r="F108" s="20">
        <f t="shared" si="27"/>
        <v>0.51320208020627234</v>
      </c>
      <c r="G108" s="20">
        <f t="shared" si="28"/>
        <v>11.17357022003641</v>
      </c>
      <c r="I108" s="20">
        <f t="shared" si="23"/>
        <v>0.6608935543191603</v>
      </c>
      <c r="K108" s="20">
        <f t="shared" si="33"/>
        <v>42.102460660780416</v>
      </c>
      <c r="L108" s="20">
        <f t="shared" si="24"/>
        <v>-0.79732967293823842</v>
      </c>
      <c r="M108" s="20">
        <f t="shared" si="29"/>
        <v>-17.359670649645949</v>
      </c>
      <c r="N108" s="1">
        <f t="shared" si="34"/>
        <v>55.519858326905229</v>
      </c>
      <c r="P108" s="20">
        <f t="shared" si="35"/>
        <v>32.736249737194953</v>
      </c>
      <c r="Q108" s="20">
        <f t="shared" si="30"/>
        <v>-0.42044680755977537</v>
      </c>
      <c r="R108" s="20">
        <f t="shared" si="31"/>
        <v>-9.1540781092918664</v>
      </c>
      <c r="S108" s="20">
        <f t="shared" si="36"/>
        <v>37.975676547473533</v>
      </c>
      <c r="T108" s="1">
        <f t="shared" si="37"/>
        <v>0</v>
      </c>
    </row>
    <row r="109" spans="1:20" x14ac:dyDescent="0.25">
      <c r="A109" s="20">
        <f t="shared" si="32"/>
        <v>1.0400000000000007</v>
      </c>
      <c r="C109" s="20">
        <f t="shared" si="22"/>
        <v>53.138560907550563</v>
      </c>
      <c r="D109" s="20">
        <f t="shared" si="25"/>
        <v>0.60653583949035084</v>
      </c>
      <c r="E109" s="20">
        <f t="shared" si="26"/>
        <v>13.205657293497733</v>
      </c>
      <c r="F109" s="20">
        <f t="shared" si="27"/>
        <v>0.50949010517189464</v>
      </c>
      <c r="G109" s="20">
        <f t="shared" si="28"/>
        <v>11.092752126538095</v>
      </c>
      <c r="I109" s="20">
        <f t="shared" si="23"/>
        <v>0.66153887179514226</v>
      </c>
      <c r="K109" s="20">
        <f t="shared" si="33"/>
        <v>41.928863954283955</v>
      </c>
      <c r="L109" s="20">
        <f t="shared" si="24"/>
        <v>-0.79158174738529219</v>
      </c>
      <c r="M109" s="20">
        <f t="shared" si="29"/>
        <v>-17.234525307757288</v>
      </c>
      <c r="N109" s="1">
        <f t="shared" si="34"/>
        <v>55.940014949980551</v>
      </c>
      <c r="P109" s="20">
        <f t="shared" si="35"/>
        <v>32.644708956102036</v>
      </c>
      <c r="Q109" s="20">
        <f t="shared" si="30"/>
        <v>-0.42117552694181587</v>
      </c>
      <c r="R109" s="20">
        <f t="shared" si="31"/>
        <v>-9.1699439787027188</v>
      </c>
      <c r="S109" s="20">
        <f t="shared" si="36"/>
        <v>38.302581340940016</v>
      </c>
      <c r="T109" s="1">
        <f t="shared" si="37"/>
        <v>0</v>
      </c>
    </row>
    <row r="110" spans="1:20" x14ac:dyDescent="0.25">
      <c r="A110" s="20">
        <f t="shared" si="32"/>
        <v>1.0500000000000007</v>
      </c>
      <c r="C110" s="20">
        <f t="shared" si="22"/>
        <v>52.9462489947446</v>
      </c>
      <c r="D110" s="20">
        <f t="shared" si="25"/>
        <v>0.60215359826098258</v>
      </c>
      <c r="E110" s="20">
        <f t="shared" si="26"/>
        <v>13.110245988699818</v>
      </c>
      <c r="F110" s="20">
        <f t="shared" si="27"/>
        <v>0.50580902253922544</v>
      </c>
      <c r="G110" s="20">
        <f t="shared" si="28"/>
        <v>11.012606630507848</v>
      </c>
      <c r="I110" s="20">
        <f t="shared" si="23"/>
        <v>0.66217200324666536</v>
      </c>
      <c r="K110" s="20">
        <f t="shared" si="33"/>
        <v>41.756518701206382</v>
      </c>
      <c r="L110" s="20">
        <f t="shared" si="24"/>
        <v>-0.78588086410183555</v>
      </c>
      <c r="M110" s="20">
        <f t="shared" si="29"/>
        <v>-17.110404182491521</v>
      </c>
      <c r="N110" s="1">
        <f t="shared" si="34"/>
        <v>56.358441863258001</v>
      </c>
      <c r="P110" s="20">
        <f t="shared" si="35"/>
        <v>32.553009516315008</v>
      </c>
      <c r="Q110" s="20">
        <f t="shared" si="30"/>
        <v>-0.42188548692044148</v>
      </c>
      <c r="R110" s="20">
        <f t="shared" si="31"/>
        <v>-9.18540141346487</v>
      </c>
      <c r="S110" s="20">
        <f t="shared" si="36"/>
        <v>38.628569933302103</v>
      </c>
      <c r="T110" s="1">
        <f t="shared" si="37"/>
        <v>0</v>
      </c>
    </row>
    <row r="111" spans="1:20" x14ac:dyDescent="0.25">
      <c r="A111" s="20">
        <f t="shared" si="32"/>
        <v>1.0600000000000007</v>
      </c>
      <c r="C111" s="20">
        <f t="shared" si="22"/>
        <v>52.754841758168823</v>
      </c>
      <c r="D111" s="20">
        <f t="shared" si="25"/>
        <v>0.59780774845780005</v>
      </c>
      <c r="E111" s="20">
        <f t="shared" si="26"/>
        <v>13.015627007572395</v>
      </c>
      <c r="F111" s="20">
        <f t="shared" si="27"/>
        <v>0.50215850870455203</v>
      </c>
      <c r="G111" s="20">
        <f t="shared" si="28"/>
        <v>10.933126686360811</v>
      </c>
      <c r="I111" s="20">
        <f t="shared" si="23"/>
        <v>0.6627929633533316</v>
      </c>
      <c r="K111" s="20">
        <f t="shared" si="33"/>
        <v>41.585414659381463</v>
      </c>
      <c r="L111" s="20">
        <f t="shared" si="24"/>
        <v>-0.78022655688540177</v>
      </c>
      <c r="M111" s="20">
        <f t="shared" si="29"/>
        <v>-16.987297123566336</v>
      </c>
      <c r="N111" s="1">
        <f t="shared" si="34"/>
        <v>56.775151530060946</v>
      </c>
      <c r="P111" s="20">
        <f t="shared" si="35"/>
        <v>32.461155502180361</v>
      </c>
      <c r="Q111" s="20">
        <f t="shared" si="30"/>
        <v>-0.42257701611597626</v>
      </c>
      <c r="R111" s="20">
        <f t="shared" si="31"/>
        <v>-9.2004575683861596</v>
      </c>
      <c r="S111" s="20">
        <f t="shared" si="36"/>
        <v>38.953640758394585</v>
      </c>
      <c r="T111" s="1">
        <f t="shared" si="37"/>
        <v>0</v>
      </c>
    </row>
    <row r="112" spans="1:20" x14ac:dyDescent="0.25">
      <c r="A112" s="20">
        <f t="shared" si="32"/>
        <v>1.0700000000000007</v>
      </c>
      <c r="C112" s="20">
        <f t="shared" si="22"/>
        <v>52.564332251298048</v>
      </c>
      <c r="D112" s="20">
        <f t="shared" si="25"/>
        <v>0.59349791004395391</v>
      </c>
      <c r="E112" s="20">
        <f t="shared" si="26"/>
        <v>12.921792075853558</v>
      </c>
      <c r="F112" s="20">
        <f t="shared" si="27"/>
        <v>0.49853824443692135</v>
      </c>
      <c r="G112" s="20">
        <f t="shared" si="28"/>
        <v>10.854305343716991</v>
      </c>
      <c r="I112" s="20">
        <f t="shared" si="23"/>
        <v>0.66340176630611025</v>
      </c>
      <c r="K112" s="20">
        <f t="shared" si="33"/>
        <v>41.415541688145801</v>
      </c>
      <c r="L112" s="20">
        <f t="shared" si="24"/>
        <v>-0.77461836511880355</v>
      </c>
      <c r="M112" s="20">
        <f t="shared" si="29"/>
        <v>-16.865194102303583</v>
      </c>
      <c r="N112" s="1">
        <f t="shared" si="34"/>
        <v>57.190156311798582</v>
      </c>
      <c r="P112" s="20">
        <f t="shared" si="35"/>
        <v>32.369150926496502</v>
      </c>
      <c r="Q112" s="20">
        <f t="shared" si="30"/>
        <v>-0.42325043753171704</v>
      </c>
      <c r="R112" s="20">
        <f t="shared" si="31"/>
        <v>-9.2151194759790336</v>
      </c>
      <c r="S112" s="20">
        <f t="shared" si="36"/>
        <v>39.277792290537967</v>
      </c>
      <c r="T112" s="1">
        <f t="shared" si="37"/>
        <v>0</v>
      </c>
    </row>
    <row r="113" spans="1:20" x14ac:dyDescent="0.25">
      <c r="A113" s="20">
        <f t="shared" si="32"/>
        <v>1.0800000000000007</v>
      </c>
      <c r="C113" s="20">
        <f t="shared" si="22"/>
        <v>52.374713607749996</v>
      </c>
      <c r="D113" s="20">
        <f t="shared" si="25"/>
        <v>0.58922370810399705</v>
      </c>
      <c r="E113" s="20">
        <f t="shared" si="26"/>
        <v>12.828733030785914</v>
      </c>
      <c r="F113" s="20">
        <f t="shared" si="27"/>
        <v>0.4949479148073575</v>
      </c>
      <c r="G113" s="20">
        <f t="shared" si="28"/>
        <v>10.776135745860168</v>
      </c>
      <c r="I113" s="20">
        <f t="shared" si="23"/>
        <v>0.66399842580974378</v>
      </c>
      <c r="K113" s="20">
        <f t="shared" si="33"/>
        <v>41.246889747122765</v>
      </c>
      <c r="L113" s="20">
        <f t="shared" si="24"/>
        <v>-0.76905583369255803</v>
      </c>
      <c r="M113" s="20">
        <f t="shared" si="29"/>
        <v>-16.744085209940302</v>
      </c>
      <c r="N113" s="1">
        <f t="shared" si="34"/>
        <v>57.603468468974924</v>
      </c>
      <c r="P113" s="20">
        <f t="shared" si="35"/>
        <v>32.276999731736709</v>
      </c>
      <c r="Q113" s="20">
        <f t="shared" si="30"/>
        <v>-0.42390606865851743</v>
      </c>
      <c r="R113" s="20">
        <f t="shared" si="31"/>
        <v>-9.2293940487375892</v>
      </c>
      <c r="S113" s="20">
        <f t="shared" si="36"/>
        <v>39.601023043829137</v>
      </c>
      <c r="T113" s="1">
        <f t="shared" si="37"/>
        <v>0</v>
      </c>
    </row>
    <row r="114" spans="1:20" x14ac:dyDescent="0.25">
      <c r="A114" s="20">
        <f t="shared" si="32"/>
        <v>1.0900000000000007</v>
      </c>
      <c r="C114" s="20">
        <f t="shared" si="22"/>
        <v>52.185979040237562</v>
      </c>
      <c r="D114" s="20">
        <f t="shared" si="25"/>
        <v>0.58498477276121719</v>
      </c>
      <c r="E114" s="20">
        <f t="shared" si="26"/>
        <v>12.736441819316726</v>
      </c>
      <c r="F114" s="20">
        <f t="shared" si="27"/>
        <v>0.49138720911942246</v>
      </c>
      <c r="G114" s="20">
        <f t="shared" si="28"/>
        <v>10.69861112822605</v>
      </c>
      <c r="I114" s="20">
        <f t="shared" si="23"/>
        <v>0.66458295508510579</v>
      </c>
      <c r="K114" s="20">
        <f t="shared" si="33"/>
        <v>41.079448895023361</v>
      </c>
      <c r="L114" s="20">
        <f t="shared" si="24"/>
        <v>-0.76353851292854102</v>
      </c>
      <c r="M114" s="20">
        <f t="shared" si="29"/>
        <v>-16.623960655966492</v>
      </c>
      <c r="N114" s="1">
        <f t="shared" si="34"/>
        <v>58.015100162185654</v>
      </c>
      <c r="P114" s="20">
        <f t="shared" si="35"/>
        <v>32.184705791249336</v>
      </c>
      <c r="Q114" s="20">
        <f t="shared" si="30"/>
        <v>-0.42454422157720179</v>
      </c>
      <c r="R114" s="20">
        <f t="shared" si="31"/>
        <v>-9.2432880813673375</v>
      </c>
      <c r="S114" s="20">
        <f t="shared" si="36"/>
        <v>39.923331571444066</v>
      </c>
      <c r="T114" s="1">
        <f t="shared" si="37"/>
        <v>0</v>
      </c>
    </row>
    <row r="115" spans="1:20" x14ac:dyDescent="0.25">
      <c r="A115" s="20">
        <f t="shared" si="32"/>
        <v>1.1000000000000008</v>
      </c>
      <c r="C115" s="20">
        <f t="shared" si="22"/>
        <v>51.998121839538726</v>
      </c>
      <c r="D115" s="20">
        <f t="shared" si="25"/>
        <v>0.58078073909653283</v>
      </c>
      <c r="E115" s="20">
        <f t="shared" si="26"/>
        <v>12.64491049633209</v>
      </c>
      <c r="F115" s="20">
        <f t="shared" si="27"/>
        <v>0.48785582084108753</v>
      </c>
      <c r="G115" s="20">
        <f t="shared" si="28"/>
        <v>10.621724816918954</v>
      </c>
      <c r="I115" s="20">
        <f t="shared" si="23"/>
        <v>0.66515536687150967</v>
      </c>
      <c r="K115" s="20">
        <f t="shared" si="33"/>
        <v>40.913209288463698</v>
      </c>
      <c r="L115" s="20">
        <f t="shared" si="24"/>
        <v>-0.75806595850484926</v>
      </c>
      <c r="M115" s="20">
        <f t="shared" si="29"/>
        <v>-16.504810766489207</v>
      </c>
      <c r="N115" s="1">
        <f t="shared" si="34"/>
        <v>58.425063453103085</v>
      </c>
      <c r="P115" s="20">
        <f t="shared" si="35"/>
        <v>32.092272910435661</v>
      </c>
      <c r="Q115" s="20">
        <f t="shared" si="30"/>
        <v>-0.42516520305886019</v>
      </c>
      <c r="R115" s="20">
        <f t="shared" si="31"/>
        <v>-9.2568082529688702</v>
      </c>
      <c r="S115" s="20">
        <f t="shared" si="36"/>
        <v>40.244716464952489</v>
      </c>
      <c r="T115" s="1">
        <f t="shared" si="37"/>
        <v>0</v>
      </c>
    </row>
    <row r="116" spans="1:20" x14ac:dyDescent="0.25">
      <c r="A116" s="20">
        <f t="shared" si="32"/>
        <v>1.1100000000000008</v>
      </c>
      <c r="C116" s="20">
        <f t="shared" si="22"/>
        <v>51.811135373483829</v>
      </c>
      <c r="D116" s="20">
        <f t="shared" si="25"/>
        <v>0.57661124706891753</v>
      </c>
      <c r="E116" s="20">
        <f t="shared" si="26"/>
        <v>12.554131222924397</v>
      </c>
      <c r="F116" s="20">
        <f t="shared" si="27"/>
        <v>0.48435344753789072</v>
      </c>
      <c r="G116" s="20">
        <f t="shared" si="28"/>
        <v>10.545470227256493</v>
      </c>
      <c r="I116" s="20">
        <f t="shared" si="23"/>
        <v>0.66571567342897331</v>
      </c>
      <c r="K116" s="20">
        <f t="shared" si="33"/>
        <v>40.748161180798803</v>
      </c>
      <c r="L116" s="20">
        <f t="shared" si="24"/>
        <v>-0.75263773138185019</v>
      </c>
      <c r="M116" s="20">
        <f t="shared" si="29"/>
        <v>-16.386625982622473</v>
      </c>
      <c r="N116" s="1">
        <f t="shared" si="34"/>
        <v>58.833370305449399</v>
      </c>
      <c r="P116" s="20">
        <f t="shared" si="35"/>
        <v>31.999704827905973</v>
      </c>
      <c r="Q116" s="20">
        <f t="shared" si="30"/>
        <v>-0.42576931466307316</v>
      </c>
      <c r="R116" s="20">
        <f t="shared" si="31"/>
        <v>-9.2699611291764246</v>
      </c>
      <c r="S116" s="20">
        <f t="shared" si="36"/>
        <v>40.565176353644198</v>
      </c>
      <c r="T116" s="1">
        <f t="shared" si="37"/>
        <v>0</v>
      </c>
    </row>
    <row r="117" spans="1:20" x14ac:dyDescent="0.25">
      <c r="A117" s="20">
        <f t="shared" si="32"/>
        <v>1.1200000000000008</v>
      </c>
      <c r="C117" s="20">
        <f t="shared" si="22"/>
        <v>51.625013085959864</v>
      </c>
      <c r="D117" s="20">
        <f t="shared" si="25"/>
        <v>0.57247594143732006</v>
      </c>
      <c r="E117" s="20">
        <f t="shared" si="26"/>
        <v>12.46409626469236</v>
      </c>
      <c r="F117" s="20">
        <f t="shared" si="27"/>
        <v>0.48087979080734883</v>
      </c>
      <c r="G117" s="20">
        <f t="shared" si="28"/>
        <v>10.469840862341581</v>
      </c>
      <c r="I117" s="20">
        <f t="shared" si="23"/>
        <v>0.66626388654043567</v>
      </c>
      <c r="K117" s="20">
        <f t="shared" si="33"/>
        <v>40.584294920972582</v>
      </c>
      <c r="L117" s="20">
        <f t="shared" si="24"/>
        <v>-0.74725339772939625</v>
      </c>
      <c r="M117" s="20">
        <f t="shared" si="29"/>
        <v>-16.269396858902596</v>
      </c>
      <c r="N117" s="1">
        <f t="shared" si="34"/>
        <v>59.240032585958254</v>
      </c>
      <c r="P117" s="20">
        <f t="shared" si="35"/>
        <v>31.907005216614209</v>
      </c>
      <c r="Q117" s="20">
        <f t="shared" si="30"/>
        <v>-0.42635685283411356</v>
      </c>
      <c r="R117" s="20">
        <f t="shared" si="31"/>
        <v>-9.2827531642524193</v>
      </c>
      <c r="S117" s="20">
        <f t="shared" si="36"/>
        <v>40.884709903866792</v>
      </c>
      <c r="T117" s="1">
        <f t="shared" si="37"/>
        <v>0</v>
      </c>
    </row>
    <row r="118" spans="1:20" x14ac:dyDescent="0.25">
      <c r="A118" s="20">
        <f t="shared" si="32"/>
        <v>1.1300000000000008</v>
      </c>
      <c r="C118" s="20">
        <f t="shared" si="22"/>
        <v>51.439748495931482</v>
      </c>
      <c r="D118" s="20">
        <f t="shared" si="25"/>
        <v>0.56837447168404875</v>
      </c>
      <c r="E118" s="20">
        <f t="shared" si="26"/>
        <v>12.37479799007291</v>
      </c>
      <c r="F118" s="20">
        <f t="shared" si="27"/>
        <v>0.47743455621460101</v>
      </c>
      <c r="G118" s="20">
        <f t="shared" si="28"/>
        <v>10.394830311661247</v>
      </c>
      <c r="I118" s="20">
        <f t="shared" si="23"/>
        <v>0.66680001751392948</v>
      </c>
      <c r="K118" s="20">
        <f t="shared" si="33"/>
        <v>40.421600952383557</v>
      </c>
      <c r="L118" s="20">
        <f t="shared" si="24"/>
        <v>-0.74191252885518755</v>
      </c>
      <c r="M118" s="20">
        <f t="shared" si="29"/>
        <v>-16.153114061728449</v>
      </c>
      <c r="N118" s="1">
        <f t="shared" si="34"/>
        <v>59.645062065325035</v>
      </c>
      <c r="P118" s="20">
        <f t="shared" si="35"/>
        <v>31.814177684971686</v>
      </c>
      <c r="Q118" s="20">
        <f t="shared" si="30"/>
        <v>-0.42692810899517031</v>
      </c>
      <c r="R118" s="20">
        <f t="shared" si="31"/>
        <v>-9.295190703138914</v>
      </c>
      <c r="S118" s="20">
        <f t="shared" si="36"/>
        <v>41.203315818374719</v>
      </c>
      <c r="T118" s="1">
        <f t="shared" si="37"/>
        <v>0</v>
      </c>
    </row>
    <row r="119" spans="1:20" x14ac:dyDescent="0.25">
      <c r="A119" s="20">
        <f t="shared" si="32"/>
        <v>1.1400000000000008</v>
      </c>
      <c r="C119" s="20">
        <f t="shared" si="22"/>
        <v>51.255335196478406</v>
      </c>
      <c r="D119" s="20">
        <f t="shared" si="25"/>
        <v>0.56430649193958882</v>
      </c>
      <c r="E119" s="20">
        <f t="shared" si="26"/>
        <v>12.286228868704308</v>
      </c>
      <c r="F119" s="20">
        <f t="shared" si="27"/>
        <v>0.47401745322925465</v>
      </c>
      <c r="G119" s="20">
        <f t="shared" si="28"/>
        <v>10.320432249711619</v>
      </c>
      <c r="I119" s="20">
        <f t="shared" si="23"/>
        <v>0.66732407718470987</v>
      </c>
      <c r="K119" s="20">
        <f t="shared" si="33"/>
        <v>40.260069811766272</v>
      </c>
      <c r="L119" s="20">
        <f t="shared" si="24"/>
        <v>-0.73661470113425898</v>
      </c>
      <c r="M119" s="20">
        <f t="shared" si="29"/>
        <v>-16.037768367826235</v>
      </c>
      <c r="N119" s="1">
        <f t="shared" si="34"/>
        <v>60.048470419145787</v>
      </c>
      <c r="P119" s="20">
        <f t="shared" si="35"/>
        <v>31.721225777940298</v>
      </c>
      <c r="Q119" s="20">
        <f t="shared" si="30"/>
        <v>-0.42748336964064071</v>
      </c>
      <c r="R119" s="20">
        <f t="shared" si="31"/>
        <v>-9.3072799834670299</v>
      </c>
      <c r="S119" s="20">
        <f t="shared" si="36"/>
        <v>41.520992835689277</v>
      </c>
      <c r="T119" s="1">
        <f t="shared" si="37"/>
        <v>0</v>
      </c>
    </row>
    <row r="120" spans="1:20" x14ac:dyDescent="0.25">
      <c r="A120" s="20">
        <f t="shared" si="32"/>
        <v>1.1500000000000008</v>
      </c>
      <c r="C120" s="20">
        <f t="shared" si="22"/>
        <v>51.071766853848864</v>
      </c>
      <c r="D120" s="20">
        <f t="shared" si="25"/>
        <v>0.56027166090881908</v>
      </c>
      <c r="E120" s="20">
        <f t="shared" si="26"/>
        <v>12.198381469819706</v>
      </c>
      <c r="F120" s="20">
        <f t="shared" si="27"/>
        <v>0.47062819516340804</v>
      </c>
      <c r="G120" s="20">
        <f t="shared" si="28"/>
        <v>10.246640434648553</v>
      </c>
      <c r="I120" s="20">
        <f t="shared" si="23"/>
        <v>0.66783607591733885</v>
      </c>
      <c r="K120" s="20">
        <f t="shared" si="33"/>
        <v>40.099692128088009</v>
      </c>
      <c r="L120" s="20">
        <f t="shared" si="24"/>
        <v>-0.73135949593957084</v>
      </c>
      <c r="M120" s="20">
        <f t="shared" si="29"/>
        <v>-15.923350662738317</v>
      </c>
      <c r="N120" s="1">
        <f t="shared" si="34"/>
        <v>60.450269228845052</v>
      </c>
      <c r="P120" s="20">
        <f t="shared" si="35"/>
        <v>31.628152978105629</v>
      </c>
      <c r="Q120" s="20">
        <f t="shared" si="30"/>
        <v>-0.42802291642653384</v>
      </c>
      <c r="R120" s="20">
        <f t="shared" si="31"/>
        <v>-9.3190271375252305</v>
      </c>
      <c r="S120" s="20">
        <f t="shared" si="36"/>
        <v>41.837739729469504</v>
      </c>
      <c r="T120" s="1">
        <f t="shared" si="37"/>
        <v>0</v>
      </c>
    </row>
    <row r="121" spans="1:20" x14ac:dyDescent="0.25">
      <c r="A121" s="20">
        <f t="shared" si="32"/>
        <v>1.1600000000000008</v>
      </c>
      <c r="C121" s="20">
        <f t="shared" si="22"/>
        <v>50.889037206528911</v>
      </c>
      <c r="D121" s="20">
        <f t="shared" si="25"/>
        <v>0.55626964179860361</v>
      </c>
      <c r="E121" s="20">
        <f t="shared" si="26"/>
        <v>12.111248460670664</v>
      </c>
      <c r="F121" s="20">
        <f t="shared" si="27"/>
        <v>0.46726649911082707</v>
      </c>
      <c r="G121" s="20">
        <f t="shared" si="28"/>
        <v>10.173448706963359</v>
      </c>
      <c r="I121" s="20">
        <f t="shared" si="23"/>
        <v>0.66833602360772781</v>
      </c>
      <c r="K121" s="20">
        <f t="shared" si="33"/>
        <v>39.940458621460628</v>
      </c>
      <c r="L121" s="20">
        <f t="shared" si="24"/>
        <v>-0.72614649957369015</v>
      </c>
      <c r="M121" s="20">
        <f t="shared" si="29"/>
        <v>-15.809851939335733</v>
      </c>
      <c r="N121" s="1">
        <f t="shared" si="34"/>
        <v>60.850469982592791</v>
      </c>
      <c r="P121" s="20">
        <f t="shared" si="35"/>
        <v>31.534962706730376</v>
      </c>
      <c r="Q121" s="20">
        <f t="shared" si="30"/>
        <v>-0.42854702625902774</v>
      </c>
      <c r="R121" s="20">
        <f t="shared" si="31"/>
        <v>-9.3304381941874102</v>
      </c>
      <c r="S121" s="20">
        <f t="shared" si="36"/>
        <v>42.153555307893683</v>
      </c>
      <c r="T121" s="1">
        <f t="shared" si="37"/>
        <v>0</v>
      </c>
    </row>
    <row r="122" spans="1:20" x14ac:dyDescent="0.25">
      <c r="A122" s="20">
        <f t="shared" si="32"/>
        <v>1.1700000000000008</v>
      </c>
      <c r="C122" s="20">
        <f t="shared" si="22"/>
        <v>50.707140064327191</v>
      </c>
      <c r="D122" s="20">
        <f t="shared" si="25"/>
        <v>0.55230010224672477</v>
      </c>
      <c r="E122" s="20">
        <f t="shared" si="26"/>
        <v>12.024822604979857</v>
      </c>
      <c r="F122" s="20">
        <f t="shared" si="27"/>
        <v>0.46393208588724882</v>
      </c>
      <c r="G122" s="20">
        <f t="shared" si="28"/>
        <v>10.10085098818308</v>
      </c>
      <c r="I122" s="20">
        <f t="shared" si="23"/>
        <v>0.66882392968513793</v>
      </c>
      <c r="K122" s="20">
        <f t="shared" si="33"/>
        <v>39.782360102067273</v>
      </c>
      <c r="L122" s="20">
        <f t="shared" si="24"/>
        <v>-0.72097530320153669</v>
      </c>
      <c r="M122" s="20">
        <f t="shared" si="29"/>
        <v>-15.697263296353945</v>
      </c>
      <c r="N122" s="1">
        <f t="shared" si="34"/>
        <v>61.24908407621043</v>
      </c>
      <c r="P122" s="20">
        <f t="shared" si="35"/>
        <v>31.441658324788502</v>
      </c>
      <c r="Q122" s="20">
        <f t="shared" si="30"/>
        <v>-0.42905597138122342</v>
      </c>
      <c r="R122" s="20">
        <f t="shared" si="31"/>
        <v>-9.3415190808017297</v>
      </c>
      <c r="S122" s="20">
        <f t="shared" si="36"/>
        <v>42.468438413051281</v>
      </c>
      <c r="T122" s="1">
        <f t="shared" si="37"/>
        <v>0</v>
      </c>
    </row>
    <row r="123" spans="1:20" x14ac:dyDescent="0.25">
      <c r="A123" s="20">
        <f t="shared" si="32"/>
        <v>1.1800000000000008</v>
      </c>
      <c r="C123" s="20">
        <f t="shared" si="22"/>
        <v>50.526069307474906</v>
      </c>
      <c r="D123" s="20">
        <f t="shared" si="25"/>
        <v>0.5483627142521299</v>
      </c>
      <c r="E123" s="20">
        <f t="shared" si="26"/>
        <v>11.93909676142238</v>
      </c>
      <c r="F123" s="20">
        <f t="shared" si="27"/>
        <v>0.46062467997178913</v>
      </c>
      <c r="G123" s="20">
        <f t="shared" si="28"/>
        <v>10.028841279594799</v>
      </c>
      <c r="I123" s="20">
        <f t="shared" si="23"/>
        <v>0.66929980311413939</v>
      </c>
      <c r="K123" s="20">
        <f t="shared" si="33"/>
        <v>39.625387469103735</v>
      </c>
      <c r="L123" s="20">
        <f t="shared" si="24"/>
        <v>-0.71584550278417913</v>
      </c>
      <c r="M123" s="20">
        <f t="shared" si="29"/>
        <v>-15.585575936951429</v>
      </c>
      <c r="N123" s="1">
        <f t="shared" si="34"/>
        <v>61.646122814066288</v>
      </c>
      <c r="P123" s="20">
        <f t="shared" si="35"/>
        <v>31.348243133980485</v>
      </c>
      <c r="Q123" s="20">
        <f t="shared" si="30"/>
        <v>-0.42955001945813387</v>
      </c>
      <c r="R123" s="20">
        <f t="shared" si="31"/>
        <v>-9.3522756250410168</v>
      </c>
      <c r="S123" s="20">
        <f t="shared" si="36"/>
        <v>42.782387920345123</v>
      </c>
      <c r="T123" s="1">
        <f t="shared" si="37"/>
        <v>0</v>
      </c>
    </row>
    <row r="124" spans="1:20" x14ac:dyDescent="0.25">
      <c r="A124" s="20">
        <f t="shared" si="32"/>
        <v>1.1900000000000008</v>
      </c>
      <c r="C124" s="20">
        <f t="shared" si="22"/>
        <v>50.345818885740755</v>
      </c>
      <c r="D124" s="20">
        <f t="shared" si="25"/>
        <v>0.54445715410646589</v>
      </c>
      <c r="E124" s="20">
        <f t="shared" si="26"/>
        <v>11.854063882135117</v>
      </c>
      <c r="F124" s="20">
        <f t="shared" si="27"/>
        <v>0.45734400944943132</v>
      </c>
      <c r="G124" s="20">
        <f t="shared" si="28"/>
        <v>9.9574136609934971</v>
      </c>
      <c r="I124" s="20">
        <f t="shared" si="23"/>
        <v>0.66976365239653035</v>
      </c>
      <c r="K124" s="20">
        <f t="shared" si="33"/>
        <v>39.46953170973422</v>
      </c>
      <c r="L124" s="20">
        <f t="shared" si="24"/>
        <v>-0.7107566990136609</v>
      </c>
      <c r="M124" s="20">
        <f t="shared" si="29"/>
        <v>-15.474781167290679</v>
      </c>
      <c r="N124" s="1">
        <f t="shared" si="34"/>
        <v>62.041597409960474</v>
      </c>
      <c r="P124" s="20">
        <f t="shared" si="35"/>
        <v>31.254720377730074</v>
      </c>
      <c r="Q124" s="20">
        <f t="shared" si="30"/>
        <v>-0.43002943365994983</v>
      </c>
      <c r="R124" s="20">
        <f t="shared" si="31"/>
        <v>-9.3627135567156508</v>
      </c>
      <c r="S124" s="20">
        <f t="shared" si="36"/>
        <v>43.095402737903676</v>
      </c>
      <c r="T124" s="1">
        <f t="shared" si="37"/>
        <v>0</v>
      </c>
    </row>
    <row r="125" spans="1:20" x14ac:dyDescent="0.25">
      <c r="A125" s="20">
        <f t="shared" si="32"/>
        <v>1.2000000000000008</v>
      </c>
      <c r="C125" s="20">
        <f t="shared" si="22"/>
        <v>50.166382817560532</v>
      </c>
      <c r="D125" s="20">
        <f t="shared" si="25"/>
        <v>0.54058310232687279</v>
      </c>
      <c r="E125" s="20">
        <f t="shared" si="26"/>
        <v>11.769717011253491</v>
      </c>
      <c r="F125" s="20">
        <f t="shared" si="27"/>
        <v>0.45408980595457321</v>
      </c>
      <c r="G125" s="20">
        <f t="shared" si="28"/>
        <v>9.8865622894529341</v>
      </c>
      <c r="I125" s="20">
        <f t="shared" si="23"/>
        <v>0.6702154855732162</v>
      </c>
      <c r="K125" s="20">
        <f t="shared" si="33"/>
        <v>39.314783898061314</v>
      </c>
      <c r="L125" s="20">
        <f t="shared" si="24"/>
        <v>-0.70570849724884033</v>
      </c>
      <c r="M125" s="20">
        <f t="shared" si="29"/>
        <v>-15.36487039514131</v>
      </c>
      <c r="N125" s="1">
        <f t="shared" si="34"/>
        <v>62.435518987999451</v>
      </c>
      <c r="P125" s="20">
        <f t="shared" si="35"/>
        <v>31.161093242162917</v>
      </c>
      <c r="Q125" s="20">
        <f t="shared" si="30"/>
        <v>-0.43049447274361935</v>
      </c>
      <c r="R125" s="20">
        <f t="shared" si="31"/>
        <v>-9.3728385095497355</v>
      </c>
      <c r="S125" s="20">
        <f t="shared" si="36"/>
        <v>43.40748180600314</v>
      </c>
      <c r="T125" s="1">
        <f t="shared" si="37"/>
        <v>0</v>
      </c>
    </row>
    <row r="126" spans="1:20" x14ac:dyDescent="0.25">
      <c r="A126" s="20">
        <f t="shared" si="32"/>
        <v>1.2100000000000009</v>
      </c>
      <c r="C126" s="20">
        <f t="shared" ref="C126:C189" si="38">SQRT((K126^2)+(P126^2))</f>
        <v>49.987755189181087</v>
      </c>
      <c r="D126" s="20">
        <f t="shared" si="25"/>
        <v>0.53674024359001016</v>
      </c>
      <c r="E126" s="20">
        <f t="shared" si="26"/>
        <v>11.686049283475075</v>
      </c>
      <c r="F126" s="20">
        <f t="shared" si="27"/>
        <v>0.45086180461560854</v>
      </c>
      <c r="G126" s="20">
        <f t="shared" si="28"/>
        <v>9.8162813981190631</v>
      </c>
      <c r="I126" s="20">
        <f t="shared" ref="I126:I189" si="39">ATAN(P126/K126)</f>
        <v>0.67065531022605007</v>
      </c>
      <c r="K126" s="20">
        <f t="shared" si="33"/>
        <v>39.161135194109903</v>
      </c>
      <c r="L126" s="20">
        <f t="shared" ref="L126:L189" si="40">-(D126*COS(I126))-(F126*SIN(I126))</f>
        <v>-0.70070050745222567</v>
      </c>
      <c r="M126" s="20">
        <f t="shared" si="29"/>
        <v>-15.255835128504804</v>
      </c>
      <c r="N126" s="1">
        <f t="shared" si="34"/>
        <v>62.827898583460303</v>
      </c>
      <c r="P126" s="20">
        <f t="shared" si="35"/>
        <v>31.067364857067417</v>
      </c>
      <c r="Q126" s="20">
        <f t="shared" si="30"/>
        <v>-0.43094539113278052</v>
      </c>
      <c r="R126" s="20">
        <f t="shared" si="31"/>
        <v>-9.3826560229214131</v>
      </c>
      <c r="S126" s="20">
        <f t="shared" si="36"/>
        <v>43.71862409649929</v>
      </c>
      <c r="T126" s="1">
        <f t="shared" si="37"/>
        <v>0</v>
      </c>
    </row>
    <row r="127" spans="1:20" x14ac:dyDescent="0.25">
      <c r="A127" s="20">
        <f t="shared" si="32"/>
        <v>1.2200000000000009</v>
      </c>
      <c r="C127" s="20">
        <f t="shared" si="38"/>
        <v>49.80993015381847</v>
      </c>
      <c r="D127" s="20">
        <f t="shared" si="25"/>
        <v>0.53292826666729065</v>
      </c>
      <c r="E127" s="20">
        <f t="shared" si="26"/>
        <v>11.603053922649481</v>
      </c>
      <c r="F127" s="20">
        <f t="shared" si="27"/>
        <v>0.44765974400052416</v>
      </c>
      <c r="G127" s="20">
        <f t="shared" si="28"/>
        <v>9.7465652950255652</v>
      </c>
      <c r="I127" s="20">
        <f t="shared" si="39"/>
        <v>0.67108313347963544</v>
      </c>
      <c r="K127" s="20">
        <f t="shared" si="33"/>
        <v>39.008576842824858</v>
      </c>
      <c r="L127" s="20">
        <f t="shared" si="40"/>
        <v>-0.69573234412778739</v>
      </c>
      <c r="M127" s="20">
        <f t="shared" si="29"/>
        <v>-15.147666974260558</v>
      </c>
      <c r="N127" s="1">
        <f t="shared" si="34"/>
        <v>63.218747143644983</v>
      </c>
      <c r="P127" s="20">
        <f t="shared" si="35"/>
        <v>30.973538296838203</v>
      </c>
      <c r="Q127" s="20">
        <f t="shared" si="30"/>
        <v>-0.43138243899608136</v>
      </c>
      <c r="R127" s="20">
        <f t="shared" si="31"/>
        <v>-9.3921715435680682</v>
      </c>
      <c r="S127" s="20">
        <f t="shared" si="36"/>
        <v>44.028828612268825</v>
      </c>
      <c r="T127" s="1">
        <f t="shared" si="37"/>
        <v>0</v>
      </c>
    </row>
    <row r="128" spans="1:20" x14ac:dyDescent="0.25">
      <c r="A128" s="20">
        <f t="shared" si="32"/>
        <v>1.2300000000000009</v>
      </c>
      <c r="C128" s="20">
        <f t="shared" si="38"/>
        <v>49.632901930829902</v>
      </c>
      <c r="D128" s="20">
        <f t="shared" si="25"/>
        <v>0.52914686436129532</v>
      </c>
      <c r="E128" s="20">
        <f t="shared" si="26"/>
        <v>11.520724240393976</v>
      </c>
      <c r="F128" s="20">
        <f t="shared" si="27"/>
        <v>0.44448336606348809</v>
      </c>
      <c r="G128" s="20">
        <f t="shared" si="28"/>
        <v>9.6774083619309401</v>
      </c>
      <c r="I128" s="20">
        <f t="shared" si="39"/>
        <v>0.67149896200309089</v>
      </c>
      <c r="K128" s="20">
        <f t="shared" si="33"/>
        <v>38.857100173082252</v>
      </c>
      <c r="L128" s="20">
        <f t="shared" si="40"/>
        <v>-0.69080362625973124</v>
      </c>
      <c r="M128" s="20">
        <f t="shared" si="29"/>
        <v>-15.040357636832816</v>
      </c>
      <c r="N128" s="1">
        <f t="shared" si="34"/>
        <v>63.60807552872452</v>
      </c>
      <c r="P128" s="20">
        <f t="shared" si="35"/>
        <v>30.879616581402523</v>
      </c>
      <c r="Q128" s="20">
        <f t="shared" si="30"/>
        <v>-0.43180586232392604</v>
      </c>
      <c r="R128" s="20">
        <f t="shared" si="31"/>
        <v>-9.4013904272572617</v>
      </c>
      <c r="S128" s="20">
        <f t="shared" si="36"/>
        <v>44.338094386660032</v>
      </c>
      <c r="T128" s="1">
        <f t="shared" si="37"/>
        <v>0</v>
      </c>
    </row>
    <row r="129" spans="1:20" x14ac:dyDescent="0.25">
      <c r="A129" s="20">
        <f t="shared" si="32"/>
        <v>1.2400000000000009</v>
      </c>
      <c r="C129" s="20">
        <f t="shared" si="38"/>
        <v>49.456664804899411</v>
      </c>
      <c r="D129" s="20">
        <f t="shared" si="25"/>
        <v>0.52539573344334667</v>
      </c>
      <c r="E129" s="20">
        <f t="shared" si="26"/>
        <v>11.439053634734305</v>
      </c>
      <c r="F129" s="20">
        <f t="shared" si="27"/>
        <v>0.44133241609241119</v>
      </c>
      <c r="G129" s="20">
        <f t="shared" si="28"/>
        <v>9.6088050531768179</v>
      </c>
      <c r="I129" s="20">
        <f t="shared" si="39"/>
        <v>0.67190280201177799</v>
      </c>
      <c r="K129" s="20">
        <f t="shared" si="33"/>
        <v>38.706696596713925</v>
      </c>
      <c r="L129" s="20">
        <f t="shared" si="40"/>
        <v>-0.68591397725221837</v>
      </c>
      <c r="M129" s="20">
        <f t="shared" si="29"/>
        <v>-14.933898916878258</v>
      </c>
      <c r="N129" s="1">
        <f t="shared" si="34"/>
        <v>63.9958945125735</v>
      </c>
      <c r="P129" s="20">
        <f t="shared" si="35"/>
        <v>30.785602677129951</v>
      </c>
      <c r="Q129" s="20">
        <f t="shared" si="30"/>
        <v>-0.43221590300367896</v>
      </c>
      <c r="R129" s="20">
        <f t="shared" si="31"/>
        <v>-9.4103179404241004</v>
      </c>
      <c r="S129" s="20">
        <f t="shared" si="36"/>
        <v>44.646420482952692</v>
      </c>
      <c r="T129" s="1">
        <f t="shared" si="37"/>
        <v>0</v>
      </c>
    </row>
    <row r="130" spans="1:20" x14ac:dyDescent="0.25">
      <c r="A130" s="20">
        <f t="shared" si="32"/>
        <v>1.2500000000000009</v>
      </c>
      <c r="C130" s="20">
        <f t="shared" si="38"/>
        <v>49.281213125236853</v>
      </c>
      <c r="D130" s="20">
        <f t="shared" si="25"/>
        <v>0.52167457459221478</v>
      </c>
      <c r="E130" s="20">
        <f t="shared" si="26"/>
        <v>11.358035588770189</v>
      </c>
      <c r="F130" s="20">
        <f t="shared" si="27"/>
        <v>0.4382066426574604</v>
      </c>
      <c r="G130" s="20">
        <f t="shared" si="28"/>
        <v>9.5407498945669591</v>
      </c>
      <c r="I130" s="20">
        <f t="shared" si="39"/>
        <v>0.67229465926899434</v>
      </c>
      <c r="K130" s="20">
        <f t="shared" si="33"/>
        <v>38.557357607545143</v>
      </c>
      <c r="L130" s="20">
        <f t="shared" si="40"/>
        <v>-0.68106302487001158</v>
      </c>
      <c r="M130" s="20">
        <f t="shared" si="29"/>
        <v>-14.82828270999372</v>
      </c>
      <c r="N130" s="1">
        <f t="shared" si="34"/>
        <v>64.38221478359479</v>
      </c>
      <c r="P130" s="20">
        <f t="shared" si="35"/>
        <v>30.691499497725712</v>
      </c>
      <c r="Q130" s="20">
        <f t="shared" si="30"/>
        <v>-0.4326127988933634</v>
      </c>
      <c r="R130" s="20">
        <f t="shared" si="31"/>
        <v>-9.4189592617758198</v>
      </c>
      <c r="S130" s="20">
        <f t="shared" si="36"/>
        <v>44.953805993826968</v>
      </c>
      <c r="T130" s="1">
        <f t="shared" si="37"/>
        <v>0</v>
      </c>
    </row>
    <row r="131" spans="1:20" x14ac:dyDescent="0.25">
      <c r="A131" s="20">
        <f t="shared" si="32"/>
        <v>1.2600000000000009</v>
      </c>
      <c r="C131" s="20">
        <f t="shared" si="38"/>
        <v>49.106541304790028</v>
      </c>
      <c r="D131" s="20">
        <f t="shared" si="25"/>
        <v>0.5179830923339318</v>
      </c>
      <c r="E131" s="20">
        <f t="shared" si="26"/>
        <v>11.277663669364943</v>
      </c>
      <c r="F131" s="20">
        <f t="shared" si="27"/>
        <v>0.43510579756050272</v>
      </c>
      <c r="G131" s="20">
        <f t="shared" si="28"/>
        <v>9.4732374822665513</v>
      </c>
      <c r="I131" s="20">
        <f t="shared" si="39"/>
        <v>0.67267453908763031</v>
      </c>
      <c r="K131" s="20">
        <f t="shared" si="33"/>
        <v>38.409074780445202</v>
      </c>
      <c r="L131" s="20">
        <f t="shared" si="40"/>
        <v>-0.67625040118003277</v>
      </c>
      <c r="M131" s="20">
        <f t="shared" si="29"/>
        <v>-14.723501005443779</v>
      </c>
      <c r="N131" s="1">
        <f t="shared" si="34"/>
        <v>64.767046945534744</v>
      </c>
      <c r="P131" s="20">
        <f t="shared" si="35"/>
        <v>30.597309905107952</v>
      </c>
      <c r="Q131" s="20">
        <f t="shared" si="30"/>
        <v>-0.43299678389388713</v>
      </c>
      <c r="R131" s="20">
        <f t="shared" si="31"/>
        <v>-9.4273194838642969</v>
      </c>
      <c r="S131" s="20">
        <f t="shared" si="36"/>
        <v>45.260250040841136</v>
      </c>
      <c r="T131" s="1">
        <f t="shared" si="37"/>
        <v>0</v>
      </c>
    </row>
    <row r="132" spans="1:20" x14ac:dyDescent="0.25">
      <c r="A132" s="20">
        <f t="shared" si="32"/>
        <v>1.2700000000000009</v>
      </c>
      <c r="C132" s="20">
        <f t="shared" si="38"/>
        <v>48.932643819469774</v>
      </c>
      <c r="D132" s="20">
        <f t="shared" si="25"/>
        <v>0.51432099498269579</v>
      </c>
      <c r="E132" s="20">
        <f t="shared" si="26"/>
        <v>11.197931525858824</v>
      </c>
      <c r="F132" s="20">
        <f t="shared" si="27"/>
        <v>0.43202963578546449</v>
      </c>
      <c r="G132" s="20">
        <f t="shared" si="28"/>
        <v>9.4062624817214129</v>
      </c>
      <c r="I132" s="20">
        <f t="shared" si="39"/>
        <v>0.67304244633179133</v>
      </c>
      <c r="K132" s="20">
        <f t="shared" si="33"/>
        <v>38.261839770390765</v>
      </c>
      <c r="L132" s="20">
        <f t="shared" si="40"/>
        <v>-0.67147574249382136</v>
      </c>
      <c r="M132" s="20">
        <f t="shared" si="29"/>
        <v>-14.619545884907934</v>
      </c>
      <c r="N132" s="1">
        <f t="shared" si="34"/>
        <v>65.150401518288916</v>
      </c>
      <c r="P132" s="20">
        <f t="shared" si="35"/>
        <v>30.50303671026931</v>
      </c>
      <c r="Q132" s="20">
        <f t="shared" si="30"/>
        <v>-0.43336808801982629</v>
      </c>
      <c r="R132" s="20">
        <f t="shared" si="31"/>
        <v>-9.4354036146271785</v>
      </c>
      <c r="S132" s="20">
        <f t="shared" si="36"/>
        <v>45.565751773918024</v>
      </c>
      <c r="T132" s="1">
        <f t="shared" si="37"/>
        <v>0</v>
      </c>
    </row>
    <row r="133" spans="1:20" x14ac:dyDescent="0.25">
      <c r="A133" s="20">
        <f t="shared" si="32"/>
        <v>1.2800000000000009</v>
      </c>
      <c r="C133" s="20">
        <f t="shared" si="38"/>
        <v>48.759515207387679</v>
      </c>
      <c r="D133" s="20">
        <f t="shared" ref="D133:D196" si="41">0.5*$W$5*$W$10*$W$9*C133^2</f>
        <v>0.51068799458283654</v>
      </c>
      <c r="E133" s="20">
        <f t="shared" ref="E133:E196" si="42">D133/$W$4</f>
        <v>11.118832888805498</v>
      </c>
      <c r="F133" s="20">
        <f t="shared" ref="F133:F196" si="43">0.5*$W$6*$W$10*$W$9*C133^2</f>
        <v>0.42897791544958264</v>
      </c>
      <c r="G133" s="20">
        <f t="shared" ref="G133:G196" si="44">F133/$W$4</f>
        <v>9.3398196265966185</v>
      </c>
      <c r="I133" s="20">
        <f t="shared" si="39"/>
        <v>0.67339838541838726</v>
      </c>
      <c r="K133" s="20">
        <f t="shared" si="33"/>
        <v>38.115644311541686</v>
      </c>
      <c r="L133" s="20">
        <f t="shared" si="40"/>
        <v>-0.66673868931086933</v>
      </c>
      <c r="M133" s="20">
        <f t="shared" ref="M133:M196" si="45">L133/$W$4</f>
        <v>-14.516409521246883</v>
      </c>
      <c r="N133" s="1">
        <f t="shared" si="34"/>
        <v>65.532288938698585</v>
      </c>
      <c r="P133" s="20">
        <f t="shared" si="35"/>
        <v>30.408682674123039</v>
      </c>
      <c r="Q133" s="20">
        <f t="shared" ref="Q133:Q196" si="46">-(D133*SIN(I133))+(F133*COS(I133))-($W$4*9.81)</f>
        <v>-0.43372693746880125</v>
      </c>
      <c r="R133" s="20">
        <f t="shared" ref="R133:R196" si="47">Q133/$W$4</f>
        <v>-9.4432165788983511</v>
      </c>
      <c r="S133" s="20">
        <f t="shared" si="36"/>
        <v>45.870310370839988</v>
      </c>
      <c r="T133" s="1">
        <f t="shared" si="37"/>
        <v>0</v>
      </c>
    </row>
    <row r="134" spans="1:20" x14ac:dyDescent="0.25">
      <c r="A134" s="20">
        <f t="shared" ref="A134:A197" si="48">A133+$W$18</f>
        <v>1.2900000000000009</v>
      </c>
      <c r="C134" s="20">
        <f t="shared" si="38"/>
        <v>48.587150068106276</v>
      </c>
      <c r="D134" s="20">
        <f t="shared" si="41"/>
        <v>0.50708380685182408</v>
      </c>
      <c r="E134" s="20">
        <f t="shared" si="42"/>
        <v>11.040361568731202</v>
      </c>
      <c r="F134" s="20">
        <f t="shared" si="43"/>
        <v>0.42595039775553223</v>
      </c>
      <c r="G134" s="20">
        <f t="shared" si="44"/>
        <v>9.2739037177342087</v>
      </c>
      <c r="I134" s="20">
        <f t="shared" si="39"/>
        <v>0.67374236031868773</v>
      </c>
      <c r="K134" s="20">
        <f t="shared" ref="K134:K197" si="49">K133+(M133*$W$18)</f>
        <v>37.970480216329214</v>
      </c>
      <c r="L134" s="20">
        <f t="shared" si="40"/>
        <v>-0.66203888626282514</v>
      </c>
      <c r="M134" s="20">
        <f t="shared" si="45"/>
        <v>-14.414084177287725</v>
      </c>
      <c r="N134" s="1">
        <f t="shared" ref="N134:N197" si="50">N133+(K133*$W$18)+(0.5*M133*$W$18^2)</f>
        <v>65.912719561337937</v>
      </c>
      <c r="P134" s="20">
        <f t="shared" ref="P134:P197" si="51">P133+(R133*$W$18)</f>
        <v>30.314250508334055</v>
      </c>
      <c r="Q134" s="20">
        <f t="shared" si="46"/>
        <v>-0.43407355468947278</v>
      </c>
      <c r="R134" s="20">
        <f t="shared" si="47"/>
        <v>-9.4507632198883691</v>
      </c>
      <c r="S134" s="20">
        <f t="shared" ref="S134:S197" si="52">S133+(P133*$W$18)+(0.5*R133*$W$18^2)</f>
        <v>46.17392503675228</v>
      </c>
      <c r="T134" s="1">
        <f t="shared" si="37"/>
        <v>0</v>
      </c>
    </row>
    <row r="135" spans="1:20" x14ac:dyDescent="0.25">
      <c r="A135" s="20">
        <f t="shared" si="48"/>
        <v>1.3000000000000009</v>
      </c>
      <c r="C135" s="20">
        <f t="shared" si="38"/>
        <v>48.415543061901452</v>
      </c>
      <c r="D135" s="20">
        <f t="shared" si="41"/>
        <v>0.50350815112429925</v>
      </c>
      <c r="E135" s="20">
        <f t="shared" si="42"/>
        <v>10.962511454916161</v>
      </c>
      <c r="F135" s="20">
        <f t="shared" si="43"/>
        <v>0.42294684694441143</v>
      </c>
      <c r="G135" s="20">
        <f t="shared" si="44"/>
        <v>9.2085096221295757</v>
      </c>
      <c r="I135" s="20">
        <f t="shared" si="39"/>
        <v>0.67407437455984476</v>
      </c>
      <c r="K135" s="20">
        <f t="shared" si="49"/>
        <v>37.826339374556341</v>
      </c>
      <c r="L135" s="20">
        <f t="shared" si="40"/>
        <v>-0.65737598205854741</v>
      </c>
      <c r="M135" s="20">
        <f t="shared" si="45"/>
        <v>-14.312562204627639</v>
      </c>
      <c r="N135" s="1">
        <f t="shared" si="50"/>
        <v>66.291703659292367</v>
      </c>
      <c r="P135" s="20">
        <f t="shared" si="51"/>
        <v>30.219742876135172</v>
      </c>
      <c r="Q135" s="20">
        <f t="shared" si="46"/>
        <v>-0.43440815844819169</v>
      </c>
      <c r="R135" s="20">
        <f t="shared" si="47"/>
        <v>-9.4580483006355696</v>
      </c>
      <c r="S135" s="20">
        <f t="shared" si="52"/>
        <v>46.476595003674632</v>
      </c>
      <c r="T135" s="1">
        <f t="shared" ref="T135:T198" si="53">IF(AND(S134&gt;0,S135&lt;0),(-1*S134*(N135-N134)/(S135-S134)+N134),0)</f>
        <v>0</v>
      </c>
    </row>
    <row r="136" spans="1:20" x14ac:dyDescent="0.25">
      <c r="A136" s="20">
        <f t="shared" si="48"/>
        <v>1.3100000000000009</v>
      </c>
      <c r="C136" s="20">
        <f t="shared" si="38"/>
        <v>48.244688909036881</v>
      </c>
      <c r="D136" s="20">
        <f t="shared" si="41"/>
        <v>0.49996075029710324</v>
      </c>
      <c r="E136" s="20">
        <f t="shared" si="42"/>
        <v>10.885276514197763</v>
      </c>
      <c r="F136" s="20">
        <f t="shared" si="43"/>
        <v>0.41996703024956672</v>
      </c>
      <c r="G136" s="20">
        <f t="shared" si="44"/>
        <v>9.1436322719261209</v>
      </c>
      <c r="I136" s="20">
        <f t="shared" si="39"/>
        <v>0.6743944312263852</v>
      </c>
      <c r="K136" s="20">
        <f t="shared" si="49"/>
        <v>37.683213752510063</v>
      </c>
      <c r="L136" s="20">
        <f t="shared" si="40"/>
        <v>-0.65274962942999659</v>
      </c>
      <c r="M136" s="20">
        <f t="shared" si="45"/>
        <v>-14.211836042455838</v>
      </c>
      <c r="N136" s="1">
        <f t="shared" si="50"/>
        <v>66.669251424927708</v>
      </c>
      <c r="P136" s="20">
        <f t="shared" si="51"/>
        <v>30.125162393128814</v>
      </c>
      <c r="Q136" s="20">
        <f t="shared" si="46"/>
        <v>-0.43473096389432853</v>
      </c>
      <c r="R136" s="20">
        <f t="shared" si="47"/>
        <v>-9.4650765054284456</v>
      </c>
      <c r="S136" s="20">
        <f t="shared" si="52"/>
        <v>46.778319530020951</v>
      </c>
      <c r="T136" s="1">
        <f t="shared" si="53"/>
        <v>0</v>
      </c>
    </row>
    <row r="137" spans="1:20" x14ac:dyDescent="0.25">
      <c r="A137" s="20">
        <f t="shared" si="48"/>
        <v>1.320000000000001</v>
      </c>
      <c r="C137" s="20">
        <f t="shared" si="38"/>
        <v>48.074582389050278</v>
      </c>
      <c r="D137" s="20">
        <f t="shared" si="41"/>
        <v>0.49644133077528785</v>
      </c>
      <c r="E137" s="20">
        <f t="shared" si="42"/>
        <v>10.808650789795076</v>
      </c>
      <c r="F137" s="20">
        <f t="shared" si="43"/>
        <v>0.41701071785124177</v>
      </c>
      <c r="G137" s="20">
        <f t="shared" si="44"/>
        <v>9.0792666634278643</v>
      </c>
      <c r="I137" s="20">
        <f t="shared" si="39"/>
        <v>0.67470253296167071</v>
      </c>
      <c r="K137" s="20">
        <f t="shared" si="49"/>
        <v>37.541095392085502</v>
      </c>
      <c r="L137" s="20">
        <f t="shared" si="40"/>
        <v>-0.64815948507894983</v>
      </c>
      <c r="M137" s="20">
        <f t="shared" si="45"/>
        <v>-14.111898216393421</v>
      </c>
      <c r="N137" s="1">
        <f t="shared" si="50"/>
        <v>67.045372970650689</v>
      </c>
      <c r="P137" s="20">
        <f t="shared" si="51"/>
        <v>30.030511628074532</v>
      </c>
      <c r="Q137" s="20">
        <f t="shared" si="46"/>
        <v>-0.43504218262431371</v>
      </c>
      <c r="R137" s="20">
        <f t="shared" si="47"/>
        <v>-9.4718524411999496</v>
      </c>
      <c r="S137" s="20">
        <f t="shared" si="52"/>
        <v>47.079097900126968</v>
      </c>
      <c r="T137" s="1">
        <f t="shared" si="53"/>
        <v>0</v>
      </c>
    </row>
    <row r="138" spans="1:20" x14ac:dyDescent="0.25">
      <c r="A138" s="20">
        <f t="shared" si="48"/>
        <v>1.330000000000001</v>
      </c>
      <c r="C138" s="20">
        <f t="shared" si="38"/>
        <v>47.905218340051213</v>
      </c>
      <c r="D138" s="20">
        <f t="shared" si="41"/>
        <v>0.49294962241908413</v>
      </c>
      <c r="E138" s="20">
        <f t="shared" si="42"/>
        <v>10.732628400154239</v>
      </c>
      <c r="F138" s="20">
        <f t="shared" si="43"/>
        <v>0.41407768283203067</v>
      </c>
      <c r="G138" s="20">
        <f t="shared" si="44"/>
        <v>9.0154078561295599</v>
      </c>
      <c r="I138" s="20">
        <f t="shared" si="39"/>
        <v>0.67499868196932722</v>
      </c>
      <c r="K138" s="20">
        <f t="shared" si="49"/>
        <v>37.399976409921571</v>
      </c>
      <c r="L138" s="20">
        <f t="shared" si="40"/>
        <v>-0.64360520962452195</v>
      </c>
      <c r="M138" s="20">
        <f t="shared" si="45"/>
        <v>-14.012741337350795</v>
      </c>
      <c r="N138" s="1">
        <f t="shared" si="50"/>
        <v>67.420078329660711</v>
      </c>
      <c r="P138" s="20">
        <f t="shared" si="51"/>
        <v>29.935793103662533</v>
      </c>
      <c r="Q138" s="20">
        <f t="shared" si="46"/>
        <v>-0.43534202274441486</v>
      </c>
      <c r="R138" s="20">
        <f t="shared" si="47"/>
        <v>-9.4783806388942935</v>
      </c>
      <c r="S138" s="20">
        <f t="shared" si="52"/>
        <v>47.378929423785657</v>
      </c>
      <c r="T138" s="1">
        <f t="shared" si="53"/>
        <v>0</v>
      </c>
    </row>
    <row r="139" spans="1:20" x14ac:dyDescent="0.25">
      <c r="A139" s="20">
        <f t="shared" si="48"/>
        <v>1.340000000000001</v>
      </c>
      <c r="C139" s="20">
        <f t="shared" si="38"/>
        <v>47.736591658030342</v>
      </c>
      <c r="D139" s="20">
        <f t="shared" si="41"/>
        <v>0.48948535849181207</v>
      </c>
      <c r="E139" s="20">
        <f t="shared" si="42"/>
        <v>10.657203537814327</v>
      </c>
      <c r="F139" s="20">
        <f t="shared" si="43"/>
        <v>0.41116770113312218</v>
      </c>
      <c r="G139" s="20">
        <f t="shared" si="44"/>
        <v>8.9520509717640362</v>
      </c>
      <c r="I139" s="20">
        <f t="shared" si="39"/>
        <v>0.67528288001464654</v>
      </c>
      <c r="K139" s="20">
        <f t="shared" si="49"/>
        <v>37.259848996548065</v>
      </c>
      <c r="L139" s="20">
        <f t="shared" si="40"/>
        <v>-0.63908646755148335</v>
      </c>
      <c r="M139" s="20">
        <f t="shared" si="45"/>
        <v>-13.914358100402424</v>
      </c>
      <c r="N139" s="1">
        <f t="shared" si="50"/>
        <v>67.793377456693051</v>
      </c>
      <c r="P139" s="20">
        <f t="shared" si="51"/>
        <v>29.84100929727359</v>
      </c>
      <c r="Q139" s="20">
        <f t="shared" si="46"/>
        <v>-0.43563068893228085</v>
      </c>
      <c r="R139" s="20">
        <f t="shared" si="47"/>
        <v>-9.4846655548068988</v>
      </c>
      <c r="S139" s="20">
        <f t="shared" si="52"/>
        <v>47.677813435790334</v>
      </c>
      <c r="T139" s="1">
        <f t="shared" si="53"/>
        <v>0</v>
      </c>
    </row>
    <row r="140" spans="1:20" x14ac:dyDescent="0.25">
      <c r="A140" s="20">
        <f t="shared" si="48"/>
        <v>1.350000000000001</v>
      </c>
      <c r="C140" s="20">
        <f t="shared" si="38"/>
        <v>47.568697296179842</v>
      </c>
      <c r="D140" s="20">
        <f t="shared" si="41"/>
        <v>0.48604827560871194</v>
      </c>
      <c r="E140" s="20">
        <f t="shared" si="42"/>
        <v>10.582370468293314</v>
      </c>
      <c r="F140" s="20">
        <f t="shared" si="43"/>
        <v>0.40828055151131804</v>
      </c>
      <c r="G140" s="20">
        <f t="shared" si="44"/>
        <v>8.8891911933663845</v>
      </c>
      <c r="I140" s="20">
        <f t="shared" si="39"/>
        <v>0.67555512842595677</v>
      </c>
      <c r="K140" s="20">
        <f t="shared" si="49"/>
        <v>37.120705415544037</v>
      </c>
      <c r="L140" s="20">
        <f t="shared" si="40"/>
        <v>-0.63460292715935906</v>
      </c>
      <c r="M140" s="20">
        <f t="shared" si="45"/>
        <v>-13.816741283678622</v>
      </c>
      <c r="N140" s="1">
        <f t="shared" si="50"/>
        <v>68.165280228753517</v>
      </c>
      <c r="P140" s="20">
        <f t="shared" si="51"/>
        <v>29.746162641725522</v>
      </c>
      <c r="Q140" s="20">
        <f t="shared" si="46"/>
        <v>-0.43590838249727631</v>
      </c>
      <c r="R140" s="20">
        <f t="shared" si="47"/>
        <v>-9.4907115718980251</v>
      </c>
      <c r="S140" s="20">
        <f t="shared" si="52"/>
        <v>47.975749295485329</v>
      </c>
      <c r="T140" s="1">
        <f t="shared" si="53"/>
        <v>0</v>
      </c>
    </row>
    <row r="141" spans="1:20" x14ac:dyDescent="0.25">
      <c r="A141" s="20">
        <f t="shared" si="48"/>
        <v>1.360000000000001</v>
      </c>
      <c r="C141" s="20">
        <f t="shared" si="38"/>
        <v>47.401530264224803</v>
      </c>
      <c r="D141" s="20">
        <f t="shared" si="41"/>
        <v>0.48263811368667603</v>
      </c>
      <c r="E141" s="20">
        <f t="shared" si="42"/>
        <v>10.5081235289936</v>
      </c>
      <c r="F141" s="20">
        <f t="shared" si="43"/>
        <v>0.40541601549680789</v>
      </c>
      <c r="G141" s="20">
        <f t="shared" si="44"/>
        <v>8.826823764354625</v>
      </c>
      <c r="I141" s="20">
        <f t="shared" si="39"/>
        <v>0.67581542809596595</v>
      </c>
      <c r="K141" s="20">
        <f t="shared" si="49"/>
        <v>36.982538002707251</v>
      </c>
      <c r="L141" s="20">
        <f t="shared" si="40"/>
        <v>-0.63015426051229428</v>
      </c>
      <c r="M141" s="20">
        <f t="shared" si="45"/>
        <v>-13.71988374727399</v>
      </c>
      <c r="N141" s="1">
        <f t="shared" si="50"/>
        <v>68.535796445844767</v>
      </c>
      <c r="P141" s="20">
        <f t="shared" si="51"/>
        <v>29.651255526006544</v>
      </c>
      <c r="Q141" s="20">
        <f t="shared" si="46"/>
        <v>-0.43617530143963462</v>
      </c>
      <c r="R141" s="20">
        <f t="shared" si="47"/>
        <v>-9.4965230010806589</v>
      </c>
      <c r="S141" s="20">
        <f t="shared" si="52"/>
        <v>48.272736386323984</v>
      </c>
      <c r="T141" s="1">
        <f t="shared" si="53"/>
        <v>0</v>
      </c>
    </row>
    <row r="142" spans="1:20" x14ac:dyDescent="0.25">
      <c r="A142" s="20">
        <f t="shared" si="48"/>
        <v>1.370000000000001</v>
      </c>
      <c r="C142" s="20">
        <f t="shared" si="38"/>
        <v>47.235085627765471</v>
      </c>
      <c r="D142" s="20">
        <f t="shared" si="41"/>
        <v>0.47925461589486745</v>
      </c>
      <c r="E142" s="20">
        <f t="shared" si="42"/>
        <v>10.434457128126876</v>
      </c>
      <c r="F142" s="20">
        <f t="shared" si="43"/>
        <v>0.40257387735168865</v>
      </c>
      <c r="G142" s="20">
        <f t="shared" si="44"/>
        <v>8.7649439876265767</v>
      </c>
      <c r="I142" s="20">
        <f t="shared" si="39"/>
        <v>0.6760637794830775</v>
      </c>
      <c r="K142" s="20">
        <f t="shared" si="49"/>
        <v>36.845339165234513</v>
      </c>
      <c r="L142" s="20">
        <f t="shared" si="40"/>
        <v>-0.62574014338967787</v>
      </c>
      <c r="M142" s="20">
        <f t="shared" si="45"/>
        <v>-13.62377843217239</v>
      </c>
      <c r="N142" s="1">
        <f t="shared" si="50"/>
        <v>68.904935831684469</v>
      </c>
      <c r="P142" s="20">
        <f t="shared" si="51"/>
        <v>29.556290295995737</v>
      </c>
      <c r="Q142" s="20">
        <f t="shared" si="46"/>
        <v>-0.43643164050845451</v>
      </c>
      <c r="R142" s="20">
        <f t="shared" si="47"/>
        <v>-9.5021040824832248</v>
      </c>
      <c r="S142" s="20">
        <f t="shared" si="52"/>
        <v>48.568774115433996</v>
      </c>
      <c r="T142" s="1">
        <f t="shared" si="53"/>
        <v>0</v>
      </c>
    </row>
    <row r="143" spans="1:20" x14ac:dyDescent="0.25">
      <c r="A143" s="20">
        <f t="shared" si="48"/>
        <v>1.380000000000001</v>
      </c>
      <c r="C143" s="20">
        <f t="shared" si="38"/>
        <v>47.06935850763012</v>
      </c>
      <c r="D143" s="20">
        <f t="shared" si="41"/>
        <v>0.47589752860620349</v>
      </c>
      <c r="E143" s="20">
        <f t="shared" si="42"/>
        <v>10.361365743657815</v>
      </c>
      <c r="F143" s="20">
        <f t="shared" si="43"/>
        <v>0.39975392402921095</v>
      </c>
      <c r="G143" s="20">
        <f t="shared" si="44"/>
        <v>8.7035472246725654</v>
      </c>
      <c r="I143" s="20">
        <f t="shared" si="39"/>
        <v>0.67630018261267866</v>
      </c>
      <c r="K143" s="20">
        <f t="shared" si="49"/>
        <v>36.709101380912792</v>
      </c>
      <c r="L143" s="20">
        <f t="shared" si="40"/>
        <v>-0.62136025523750515</v>
      </c>
      <c r="M143" s="20">
        <f t="shared" si="45"/>
        <v>-13.528418359188008</v>
      </c>
      <c r="N143" s="1">
        <f t="shared" si="50"/>
        <v>69.272708034415217</v>
      </c>
      <c r="P143" s="20">
        <f t="shared" si="51"/>
        <v>29.461269255170905</v>
      </c>
      <c r="Q143" s="20">
        <f t="shared" si="46"/>
        <v>-0.43667759125856415</v>
      </c>
      <c r="R143" s="20">
        <f t="shared" si="47"/>
        <v>-9.5074589866876593</v>
      </c>
      <c r="S143" s="20">
        <f t="shared" si="52"/>
        <v>48.86386191318983</v>
      </c>
      <c r="T143" s="1">
        <f t="shared" si="53"/>
        <v>0</v>
      </c>
    </row>
    <row r="144" spans="1:20" x14ac:dyDescent="0.25">
      <c r="A144" s="20">
        <f t="shared" si="48"/>
        <v>1.390000000000001</v>
      </c>
      <c r="C144" s="20">
        <f t="shared" si="38"/>
        <v>46.904344079238314</v>
      </c>
      <c r="D144" s="20">
        <f t="shared" si="41"/>
        <v>0.47256660134968886</v>
      </c>
      <c r="E144" s="20">
        <f t="shared" si="42"/>
        <v>10.288843922266251</v>
      </c>
      <c r="F144" s="20">
        <f t="shared" si="43"/>
        <v>0.39695594513373866</v>
      </c>
      <c r="G144" s="20">
        <f t="shared" si="44"/>
        <v>8.64262889470365</v>
      </c>
      <c r="I144" s="20">
        <f t="shared" si="39"/>
        <v>0.67652463707840316</v>
      </c>
      <c r="K144" s="20">
        <f t="shared" si="49"/>
        <v>36.573817197320913</v>
      </c>
      <c r="L144" s="20">
        <f t="shared" si="40"/>
        <v>-0.61701427912047324</v>
      </c>
      <c r="M144" s="20">
        <f t="shared" si="45"/>
        <v>-13.433796627922344</v>
      </c>
      <c r="N144" s="1">
        <f t="shared" si="50"/>
        <v>69.639122627306392</v>
      </c>
      <c r="P144" s="20">
        <f t="shared" si="51"/>
        <v>29.366194665304029</v>
      </c>
      <c r="Q144" s="20">
        <f t="shared" si="46"/>
        <v>-0.43691334210627852</v>
      </c>
      <c r="R144" s="20">
        <f t="shared" si="47"/>
        <v>-9.5125918159433596</v>
      </c>
      <c r="S144" s="20">
        <f t="shared" si="52"/>
        <v>49.157999232792207</v>
      </c>
      <c r="T144" s="1">
        <f t="shared" si="53"/>
        <v>0</v>
      </c>
    </row>
    <row r="145" spans="1:20" x14ac:dyDescent="0.25">
      <c r="A145" s="20">
        <f t="shared" si="48"/>
        <v>1.400000000000001</v>
      </c>
      <c r="C145" s="20">
        <f t="shared" si="38"/>
        <v>46.740037571974455</v>
      </c>
      <c r="D145" s="20">
        <f t="shared" si="41"/>
        <v>0.46926158676358082</v>
      </c>
      <c r="E145" s="20">
        <f t="shared" si="42"/>
        <v>10.216886278327474</v>
      </c>
      <c r="F145" s="20">
        <f t="shared" si="43"/>
        <v>0.3941797328814079</v>
      </c>
      <c r="G145" s="20">
        <f t="shared" si="44"/>
        <v>8.5821844737950777</v>
      </c>
      <c r="I145" s="20">
        <f t="shared" si="39"/>
        <v>0.67673714204336766</v>
      </c>
      <c r="K145" s="20">
        <f t="shared" si="49"/>
        <v>36.439479231041688</v>
      </c>
      <c r="L145" s="20">
        <f t="shared" si="40"/>
        <v>-0.61270190167479155</v>
      </c>
      <c r="M145" s="20">
        <f t="shared" si="45"/>
        <v>-13.339906415736808</v>
      </c>
      <c r="N145" s="1">
        <f t="shared" si="50"/>
        <v>70.004189109448205</v>
      </c>
      <c r="P145" s="20">
        <f t="shared" si="51"/>
        <v>29.271068747144597</v>
      </c>
      <c r="Q145" s="20">
        <f t="shared" si="46"/>
        <v>-0.43713907838407229</v>
      </c>
      <c r="R145" s="20">
        <f t="shared" si="47"/>
        <v>-9.5175066053575499</v>
      </c>
      <c r="S145" s="20">
        <f t="shared" si="52"/>
        <v>49.451185549854451</v>
      </c>
      <c r="T145" s="1">
        <f t="shared" si="53"/>
        <v>0</v>
      </c>
    </row>
    <row r="146" spans="1:20" x14ac:dyDescent="0.25">
      <c r="A146" s="20">
        <f t="shared" si="48"/>
        <v>1.410000000000001</v>
      </c>
      <c r="C146" s="20">
        <f t="shared" si="38"/>
        <v>46.576434268571461</v>
      </c>
      <c r="D146" s="20">
        <f t="shared" si="41"/>
        <v>0.46598224054937082</v>
      </c>
      <c r="E146" s="20">
        <f t="shared" si="42"/>
        <v>10.145487492910316</v>
      </c>
      <c r="F146" s="20">
        <f t="shared" si="43"/>
        <v>0.39142508206147147</v>
      </c>
      <c r="G146" s="20">
        <f t="shared" si="44"/>
        <v>8.5222094940446649</v>
      </c>
      <c r="I146" s="20">
        <f t="shared" si="39"/>
        <v>0.67693769624138378</v>
      </c>
      <c r="K146" s="20">
        <f t="shared" si="49"/>
        <v>36.306080166884321</v>
      </c>
      <c r="L146" s="20">
        <f t="shared" si="40"/>
        <v>-0.60842281306170076</v>
      </c>
      <c r="M146" s="20">
        <f t="shared" si="45"/>
        <v>-13.246740976740709</v>
      </c>
      <c r="N146" s="1">
        <f t="shared" si="50"/>
        <v>70.367916906437841</v>
      </c>
      <c r="P146" s="20">
        <f t="shared" si="51"/>
        <v>29.175893681091022</v>
      </c>
      <c r="Q146" s="20">
        <f t="shared" si="46"/>
        <v>-0.43735498239419174</v>
      </c>
      <c r="R146" s="20">
        <f t="shared" si="47"/>
        <v>-9.5222073240625242</v>
      </c>
      <c r="S146" s="20">
        <f t="shared" si="52"/>
        <v>49.743420361995632</v>
      </c>
      <c r="T146" s="1">
        <f t="shared" si="53"/>
        <v>0</v>
      </c>
    </row>
    <row r="147" spans="1:20" x14ac:dyDescent="0.25">
      <c r="A147" s="20">
        <f t="shared" si="48"/>
        <v>1.420000000000001</v>
      </c>
      <c r="C147" s="20">
        <f t="shared" si="38"/>
        <v>46.413529504504261</v>
      </c>
      <c r="D147" s="20">
        <f t="shared" si="41"/>
        <v>0.46272832142656373</v>
      </c>
      <c r="E147" s="20">
        <f t="shared" si="42"/>
        <v>10.074642312792593</v>
      </c>
      <c r="F147" s="20">
        <f t="shared" si="43"/>
        <v>0.38869178999831355</v>
      </c>
      <c r="G147" s="20">
        <f t="shared" si="44"/>
        <v>8.4626995427457778</v>
      </c>
      <c r="I147" s="20">
        <f t="shared" si="39"/>
        <v>0.67712629797814583</v>
      </c>
      <c r="K147" s="20">
        <f t="shared" si="49"/>
        <v>36.173612757116913</v>
      </c>
      <c r="L147" s="20">
        <f t="shared" si="40"/>
        <v>-0.60417670692168279</v>
      </c>
      <c r="M147" s="20">
        <f t="shared" si="45"/>
        <v>-13.154293640794313</v>
      </c>
      <c r="N147" s="1">
        <f t="shared" si="50"/>
        <v>70.730315371057841</v>
      </c>
      <c r="P147" s="20">
        <f t="shared" si="51"/>
        <v>29.080671607850398</v>
      </c>
      <c r="Q147" s="20">
        <f t="shared" si="46"/>
        <v>-0.43756123346122816</v>
      </c>
      <c r="R147" s="20">
        <f t="shared" si="47"/>
        <v>-9.5266978763602914</v>
      </c>
      <c r="S147" s="20">
        <f t="shared" si="52"/>
        <v>50.034703188440339</v>
      </c>
      <c r="T147" s="1">
        <f t="shared" si="53"/>
        <v>0</v>
      </c>
    </row>
    <row r="148" spans="1:20" x14ac:dyDescent="0.25">
      <c r="A148" s="20">
        <f t="shared" si="48"/>
        <v>1.430000000000001</v>
      </c>
      <c r="C148" s="20">
        <f t="shared" si="38"/>
        <v>46.251318667393107</v>
      </c>
      <c r="D148" s="20">
        <f t="shared" si="41"/>
        <v>0.45949959108824145</v>
      </c>
      <c r="E148" s="20">
        <f t="shared" si="42"/>
        <v>10.004345549493609</v>
      </c>
      <c r="F148" s="20">
        <f t="shared" si="43"/>
        <v>0.38597965651412286</v>
      </c>
      <c r="G148" s="20">
        <f t="shared" si="44"/>
        <v>8.4036502615746329</v>
      </c>
      <c r="I148" s="20">
        <f t="shared" si="39"/>
        <v>0.67730294513239486</v>
      </c>
      <c r="K148" s="20">
        <f t="shared" si="49"/>
        <v>36.042069820708967</v>
      </c>
      <c r="L148" s="20">
        <f t="shared" si="40"/>
        <v>-0.59996328032935298</v>
      </c>
      <c r="M148" s="20">
        <f t="shared" si="45"/>
        <v>-13.062557812526736</v>
      </c>
      <c r="N148" s="1">
        <f t="shared" si="50"/>
        <v>71.09139378394697</v>
      </c>
      <c r="P148" s="20">
        <f t="shared" si="51"/>
        <v>28.985404629086794</v>
      </c>
      <c r="Q148" s="20">
        <f t="shared" si="46"/>
        <v>-0.43775800798367653</v>
      </c>
      <c r="R148" s="20">
        <f t="shared" si="47"/>
        <v>-9.5309821028451243</v>
      </c>
      <c r="S148" s="20">
        <f t="shared" si="52"/>
        <v>50.325033569625027</v>
      </c>
      <c r="T148" s="1">
        <f t="shared" si="53"/>
        <v>0</v>
      </c>
    </row>
    <row r="149" spans="1:20" x14ac:dyDescent="0.25">
      <c r="A149" s="20">
        <f t="shared" si="48"/>
        <v>1.4400000000000011</v>
      </c>
      <c r="C149" s="20">
        <f t="shared" si="38"/>
        <v>46.089797196416448</v>
      </c>
      <c r="D149" s="20">
        <f t="shared" si="41"/>
        <v>0.45629581415739556</v>
      </c>
      <c r="E149" s="20">
        <f t="shared" si="42"/>
        <v>9.9345920783234387</v>
      </c>
      <c r="F149" s="20">
        <f t="shared" si="43"/>
        <v>0.38328848389221226</v>
      </c>
      <c r="G149" s="20">
        <f t="shared" si="44"/>
        <v>8.3450573457916892</v>
      </c>
      <c r="I149" s="20">
        <f t="shared" si="39"/>
        <v>0.67746763515705999</v>
      </c>
      <c r="K149" s="20">
        <f t="shared" si="49"/>
        <v>35.911444242583698</v>
      </c>
      <c r="L149" s="20">
        <f t="shared" si="40"/>
        <v>-0.59578223374902628</v>
      </c>
      <c r="M149" s="20">
        <f t="shared" si="45"/>
        <v>-12.971526970368524</v>
      </c>
      <c r="N149" s="1">
        <f t="shared" si="50"/>
        <v>71.451161354263434</v>
      </c>
      <c r="P149" s="20">
        <f t="shared" si="51"/>
        <v>28.890094808058343</v>
      </c>
      <c r="Q149" s="20">
        <f t="shared" si="46"/>
        <v>-0.43794547948449675</v>
      </c>
      <c r="R149" s="20">
        <f t="shared" si="47"/>
        <v>-9.5350637815043928</v>
      </c>
      <c r="S149" s="20">
        <f t="shared" si="52"/>
        <v>50.614411066810753</v>
      </c>
      <c r="T149" s="1">
        <f t="shared" si="53"/>
        <v>0</v>
      </c>
    </row>
    <row r="150" spans="1:20" x14ac:dyDescent="0.25">
      <c r="A150" s="20">
        <f t="shared" si="48"/>
        <v>1.4500000000000011</v>
      </c>
      <c r="C150" s="20">
        <f t="shared" si="38"/>
        <v>45.928960581733186</v>
      </c>
      <c r="D150" s="20">
        <f t="shared" si="41"/>
        <v>0.45311675814400981</v>
      </c>
      <c r="E150" s="20">
        <f t="shared" si="42"/>
        <v>9.8653768374485047</v>
      </c>
      <c r="F150" s="20">
        <f t="shared" si="43"/>
        <v>0.38061807684096821</v>
      </c>
      <c r="G150" s="20">
        <f t="shared" si="44"/>
        <v>8.2869165434567442</v>
      </c>
      <c r="I150" s="20">
        <f t="shared" si="39"/>
        <v>0.67762036508037771</v>
      </c>
      <c r="K150" s="20">
        <f t="shared" si="49"/>
        <v>35.781728972880011</v>
      </c>
      <c r="L150" s="20">
        <f t="shared" si="40"/>
        <v>-0.59163327099093799</v>
      </c>
      <c r="M150" s="20">
        <f t="shared" si="45"/>
        <v>-12.881194665598477</v>
      </c>
      <c r="N150" s="1">
        <f t="shared" si="50"/>
        <v>71.809627220340744</v>
      </c>
      <c r="P150" s="20">
        <f t="shared" si="51"/>
        <v>28.794744170243298</v>
      </c>
      <c r="Q150" s="20">
        <f t="shared" si="46"/>
        <v>-0.43812381866070343</v>
      </c>
      <c r="R150" s="20">
        <f t="shared" si="47"/>
        <v>-9.5389466287982465</v>
      </c>
      <c r="S150" s="20">
        <f t="shared" si="52"/>
        <v>50.902835261702258</v>
      </c>
      <c r="T150" s="1">
        <f t="shared" si="53"/>
        <v>0</v>
      </c>
    </row>
    <row r="151" spans="1:20" x14ac:dyDescent="0.25">
      <c r="A151" s="20">
        <f t="shared" si="48"/>
        <v>1.4600000000000011</v>
      </c>
      <c r="C151" s="20">
        <f t="shared" si="38"/>
        <v>45.768804363914263</v>
      </c>
      <c r="D151" s="20">
        <f t="shared" si="41"/>
        <v>0.44996219340288429</v>
      </c>
      <c r="E151" s="20">
        <f t="shared" si="42"/>
        <v>9.7966948269733134</v>
      </c>
      <c r="F151" s="20">
        <f t="shared" si="43"/>
        <v>0.37796824245842281</v>
      </c>
      <c r="G151" s="20">
        <f t="shared" si="44"/>
        <v>8.2292236546575843</v>
      </c>
      <c r="I151" s="20">
        <f t="shared" si="39"/>
        <v>0.67776113150698947</v>
      </c>
      <c r="K151" s="20">
        <f t="shared" si="49"/>
        <v>35.652917026224024</v>
      </c>
      <c r="L151" s="20">
        <f t="shared" si="40"/>
        <v>-0.58751609916811842</v>
      </c>
      <c r="M151" s="20">
        <f t="shared" si="45"/>
        <v>-12.791554521404713</v>
      </c>
      <c r="N151" s="1">
        <f t="shared" si="50"/>
        <v>72.166800450336268</v>
      </c>
      <c r="P151" s="20">
        <f t="shared" si="51"/>
        <v>28.699354703955315</v>
      </c>
      <c r="Q151" s="20">
        <f t="shared" si="46"/>
        <v>-0.43829319343200129</v>
      </c>
      <c r="R151" s="20">
        <f t="shared" si="47"/>
        <v>-9.5426343007185128</v>
      </c>
      <c r="S151" s="20">
        <f t="shared" si="52"/>
        <v>51.190305756073251</v>
      </c>
      <c r="T151" s="1">
        <f t="shared" si="53"/>
        <v>0</v>
      </c>
    </row>
    <row r="152" spans="1:20" x14ac:dyDescent="0.25">
      <c r="A152" s="20">
        <f t="shared" si="48"/>
        <v>1.4700000000000011</v>
      </c>
      <c r="C152" s="20">
        <f t="shared" si="38"/>
        <v>45.609324133383232</v>
      </c>
      <c r="D152" s="20">
        <f t="shared" si="41"/>
        <v>0.44683189309217869</v>
      </c>
      <c r="E152" s="20">
        <f t="shared" si="42"/>
        <v>9.7285411080378559</v>
      </c>
      <c r="F152" s="20">
        <f t="shared" si="43"/>
        <v>0.37533879019743011</v>
      </c>
      <c r="G152" s="20">
        <f t="shared" si="44"/>
        <v>8.1719745307517986</v>
      </c>
      <c r="I152" s="20">
        <f t="shared" si="39"/>
        <v>0.67788993061901814</v>
      </c>
      <c r="K152" s="20">
        <f t="shared" si="49"/>
        <v>35.52500148100998</v>
      </c>
      <c r="L152" s="20">
        <f t="shared" si="40"/>
        <v>-0.58343042865389849</v>
      </c>
      <c r="M152" s="20">
        <f t="shared" si="45"/>
        <v>-12.702600231959471</v>
      </c>
      <c r="N152" s="1">
        <f t="shared" si="50"/>
        <v>72.522690042872426</v>
      </c>
      <c r="P152" s="20">
        <f t="shared" si="51"/>
        <v>28.603928360948128</v>
      </c>
      <c r="Q152" s="20">
        <f t="shared" si="46"/>
        <v>-0.43845376898848704</v>
      </c>
      <c r="R152" s="20">
        <f t="shared" si="47"/>
        <v>-9.5461303938272817</v>
      </c>
      <c r="S152" s="20">
        <f t="shared" si="52"/>
        <v>51.476822171397764</v>
      </c>
      <c r="T152" s="1">
        <f t="shared" si="53"/>
        <v>0</v>
      </c>
    </row>
    <row r="153" spans="1:20" x14ac:dyDescent="0.25">
      <c r="A153" s="20">
        <f t="shared" si="48"/>
        <v>1.4800000000000011</v>
      </c>
      <c r="C153" s="20">
        <f t="shared" si="38"/>
        <v>45.450515529865903</v>
      </c>
      <c r="D153" s="20">
        <f t="shared" si="41"/>
        <v>0.44372563313266916</v>
      </c>
      <c r="E153" s="20">
        <f t="shared" si="42"/>
        <v>9.6609108019305285</v>
      </c>
      <c r="F153" s="20">
        <f t="shared" si="43"/>
        <v>0.37272953183144214</v>
      </c>
      <c r="G153" s="20">
        <f t="shared" si="44"/>
        <v>8.115165073621645</v>
      </c>
      <c r="I153" s="20">
        <f t="shared" si="39"/>
        <v>0.67800675817712563</v>
      </c>
      <c r="K153" s="20">
        <f t="shared" si="49"/>
        <v>35.397975478690384</v>
      </c>
      <c r="L153" s="20">
        <f t="shared" si="40"/>
        <v>-0.57937597304005006</v>
      </c>
      <c r="M153" s="20">
        <f t="shared" si="45"/>
        <v>-12.61432556150773</v>
      </c>
      <c r="N153" s="1">
        <f t="shared" si="50"/>
        <v>72.87730492767092</v>
      </c>
      <c r="P153" s="20">
        <f t="shared" si="51"/>
        <v>28.508467057009856</v>
      </c>
      <c r="Q153" s="20">
        <f t="shared" si="46"/>
        <v>-0.43860570783743863</v>
      </c>
      <c r="R153" s="20">
        <f t="shared" si="47"/>
        <v>-9.549438446275607</v>
      </c>
      <c r="S153" s="20">
        <f t="shared" si="52"/>
        <v>51.762384148487556</v>
      </c>
      <c r="T153" s="1">
        <f t="shared" si="53"/>
        <v>0</v>
      </c>
    </row>
    <row r="154" spans="1:20" x14ac:dyDescent="0.25">
      <c r="A154" s="20">
        <f t="shared" si="48"/>
        <v>1.4900000000000011</v>
      </c>
      <c r="C154" s="20">
        <f t="shared" si="38"/>
        <v>45.292374241848727</v>
      </c>
      <c r="D154" s="20">
        <f t="shared" si="41"/>
        <v>0.44064319216769759</v>
      </c>
      <c r="E154" s="20">
        <f t="shared" si="42"/>
        <v>9.5937990892161462</v>
      </c>
      <c r="F154" s="20">
        <f t="shared" si="43"/>
        <v>0.37014028142086597</v>
      </c>
      <c r="G154" s="20">
        <f t="shared" si="44"/>
        <v>8.0587912349415625</v>
      </c>
      <c r="I154" s="20">
        <f t="shared" si="39"/>
        <v>0.67811160952154959</v>
      </c>
      <c r="K154" s="20">
        <f t="shared" si="49"/>
        <v>35.271832223075307</v>
      </c>
      <c r="L154" s="20">
        <f t="shared" si="40"/>
        <v>-0.57535244909553784</v>
      </c>
      <c r="M154" s="20">
        <f t="shared" si="45"/>
        <v>-12.526724343469146</v>
      </c>
      <c r="N154" s="1">
        <f t="shared" si="50"/>
        <v>73.230653966179744</v>
      </c>
      <c r="P154" s="20">
        <f t="shared" si="51"/>
        <v>28.412972672547099</v>
      </c>
      <c r="Q154" s="20">
        <f t="shared" si="46"/>
        <v>-0.43874916984920909</v>
      </c>
      <c r="R154" s="20">
        <f t="shared" si="47"/>
        <v>-9.5525619388027234</v>
      </c>
      <c r="S154" s="20">
        <f t="shared" si="52"/>
        <v>52.046991347135339</v>
      </c>
      <c r="T154" s="1">
        <f t="shared" si="53"/>
        <v>0</v>
      </c>
    </row>
    <row r="155" spans="1:20" x14ac:dyDescent="0.25">
      <c r="A155" s="20">
        <f t="shared" si="48"/>
        <v>1.5000000000000011</v>
      </c>
      <c r="C155" s="20">
        <f t="shared" si="38"/>
        <v>45.134896006045778</v>
      </c>
      <c r="D155" s="20">
        <f t="shared" si="41"/>
        <v>0.43758435152380243</v>
      </c>
      <c r="E155" s="20">
        <f t="shared" si="42"/>
        <v>9.5272012088787825</v>
      </c>
      <c r="F155" s="20">
        <f t="shared" si="43"/>
        <v>0.36757085527999406</v>
      </c>
      <c r="G155" s="20">
        <f t="shared" si="44"/>
        <v>8.0028490154581764</v>
      </c>
      <c r="I155" s="20">
        <f t="shared" si="39"/>
        <v>0.67820447957312224</v>
      </c>
      <c r="K155" s="20">
        <f t="shared" si="49"/>
        <v>35.146564979640615</v>
      </c>
      <c r="L155" s="20">
        <f t="shared" si="40"/>
        <v>-0.57135957672587823</v>
      </c>
      <c r="M155" s="20">
        <f t="shared" si="45"/>
        <v>-12.439790479553196</v>
      </c>
      <c r="N155" s="1">
        <f t="shared" si="50"/>
        <v>73.582745952193335</v>
      </c>
      <c r="P155" s="20">
        <f t="shared" si="51"/>
        <v>28.317447053159071</v>
      </c>
      <c r="Q155" s="20">
        <f t="shared" si="46"/>
        <v>-0.43888431230224406</v>
      </c>
      <c r="R155" s="20">
        <f t="shared" si="47"/>
        <v>-9.5555042957161778</v>
      </c>
      <c r="S155" s="20">
        <f t="shared" si="52"/>
        <v>52.330643445763876</v>
      </c>
      <c r="T155" s="1">
        <f t="shared" si="53"/>
        <v>0</v>
      </c>
    </row>
    <row r="156" spans="1:20" x14ac:dyDescent="0.25">
      <c r="A156" s="20">
        <f t="shared" si="48"/>
        <v>1.5100000000000011</v>
      </c>
      <c r="C156" s="20">
        <f t="shared" si="38"/>
        <v>44.978076606874396</v>
      </c>
      <c r="D156" s="20">
        <f t="shared" si="41"/>
        <v>0.43454889517202111</v>
      </c>
      <c r="E156" s="20">
        <f t="shared" si="42"/>
        <v>9.4611124574792314</v>
      </c>
      <c r="F156" s="20">
        <f t="shared" si="43"/>
        <v>0.36502107194449773</v>
      </c>
      <c r="G156" s="20">
        <f t="shared" si="44"/>
        <v>7.9473344642825552</v>
      </c>
      <c r="I156" s="20">
        <f t="shared" si="39"/>
        <v>0.67828536283427066</v>
      </c>
      <c r="K156" s="20">
        <f t="shared" si="49"/>
        <v>35.022167074845086</v>
      </c>
      <c r="L156" s="20">
        <f t="shared" si="40"/>
        <v>-0.56739707893309765</v>
      </c>
      <c r="M156" s="20">
        <f t="shared" si="45"/>
        <v>-12.353517938887387</v>
      </c>
      <c r="N156" s="1">
        <f t="shared" si="50"/>
        <v>73.933589612465767</v>
      </c>
      <c r="P156" s="20">
        <f t="shared" si="51"/>
        <v>28.221892010201909</v>
      </c>
      <c r="Q156" s="20">
        <f t="shared" si="46"/>
        <v>-0.43901128992724303</v>
      </c>
      <c r="R156" s="20">
        <f t="shared" si="47"/>
        <v>-9.5582688858533214</v>
      </c>
      <c r="S156" s="20">
        <f t="shared" si="52"/>
        <v>52.613340141080684</v>
      </c>
      <c r="T156" s="1">
        <f t="shared" si="53"/>
        <v>0</v>
      </c>
    </row>
    <row r="157" spans="1:20" x14ac:dyDescent="0.25">
      <c r="A157" s="20">
        <f t="shared" si="48"/>
        <v>1.5200000000000011</v>
      </c>
      <c r="C157" s="20">
        <f t="shared" si="38"/>
        <v>44.821911875938994</v>
      </c>
      <c r="D157" s="20">
        <f t="shared" si="41"/>
        <v>0.43153660968984381</v>
      </c>
      <c r="E157" s="20">
        <f t="shared" si="42"/>
        <v>9.3955281883266668</v>
      </c>
      <c r="F157" s="20">
        <f t="shared" si="43"/>
        <v>0.3624907521394688</v>
      </c>
      <c r="G157" s="20">
        <f t="shared" si="44"/>
        <v>7.8922436781944008</v>
      </c>
      <c r="I157" s="20">
        <f t="shared" si="39"/>
        <v>0.67835425339000077</v>
      </c>
      <c r="K157" s="20">
        <f t="shared" si="49"/>
        <v>34.898631895456212</v>
      </c>
      <c r="L157" s="20">
        <f t="shared" si="40"/>
        <v>-0.5634646817762734</v>
      </c>
      <c r="M157" s="20">
        <f t="shared" si="45"/>
        <v>-12.267900757158142</v>
      </c>
      <c r="N157" s="1">
        <f t="shared" si="50"/>
        <v>74.283193607317273</v>
      </c>
      <c r="P157" s="20">
        <f t="shared" si="51"/>
        <v>28.126309321343374</v>
      </c>
      <c r="Q157" s="20">
        <f t="shared" si="46"/>
        <v>-0.43913025495047953</v>
      </c>
      <c r="R157" s="20">
        <f t="shared" si="47"/>
        <v>-9.5608590235244844</v>
      </c>
      <c r="S157" s="20">
        <f t="shared" si="52"/>
        <v>52.895081147738409</v>
      </c>
      <c r="T157" s="1">
        <f t="shared" si="53"/>
        <v>0</v>
      </c>
    </row>
    <row r="158" spans="1:20" x14ac:dyDescent="0.25">
      <c r="A158" s="20">
        <f t="shared" si="48"/>
        <v>1.5300000000000011</v>
      </c>
      <c r="C158" s="20">
        <f t="shared" si="38"/>
        <v>44.666397691523287</v>
      </c>
      <c r="D158" s="20">
        <f t="shared" si="41"/>
        <v>0.42854728422381327</v>
      </c>
      <c r="E158" s="20">
        <f t="shared" si="42"/>
        <v>9.3304438106643435</v>
      </c>
      <c r="F158" s="20">
        <f t="shared" si="43"/>
        <v>0.35997971874800316</v>
      </c>
      <c r="G158" s="20">
        <f t="shared" si="44"/>
        <v>7.837572800958049</v>
      </c>
      <c r="I158" s="20">
        <f t="shared" si="39"/>
        <v>0.67841114490886367</v>
      </c>
      <c r="K158" s="20">
        <f t="shared" si="49"/>
        <v>34.775952887884628</v>
      </c>
      <c r="L158" s="20">
        <f t="shared" si="40"/>
        <v>-0.55956211433265479</v>
      </c>
      <c r="M158" s="20">
        <f t="shared" si="45"/>
        <v>-12.182933035764311</v>
      </c>
      <c r="N158" s="1">
        <f t="shared" si="50"/>
        <v>74.631566531233972</v>
      </c>
      <c r="P158" s="20">
        <f t="shared" si="51"/>
        <v>28.03070073110813</v>
      </c>
      <c r="Q158" s="20">
        <f t="shared" si="46"/>
        <v>-0.43924135713629936</v>
      </c>
      <c r="R158" s="20">
        <f t="shared" si="47"/>
        <v>-9.5632779694382624</v>
      </c>
      <c r="S158" s="20">
        <f t="shared" si="52"/>
        <v>53.175866198000662</v>
      </c>
      <c r="T158" s="1">
        <f t="shared" si="53"/>
        <v>0</v>
      </c>
    </row>
    <row r="159" spans="1:20" x14ac:dyDescent="0.25">
      <c r="A159" s="20">
        <f t="shared" si="48"/>
        <v>1.5400000000000011</v>
      </c>
      <c r="C159" s="20">
        <f t="shared" si="38"/>
        <v>44.511529978090508</v>
      </c>
      <c r="D159" s="20">
        <f t="shared" si="41"/>
        <v>0.42558071045275403</v>
      </c>
      <c r="E159" s="20">
        <f t="shared" si="42"/>
        <v>9.265854788869019</v>
      </c>
      <c r="F159" s="20">
        <f t="shared" si="43"/>
        <v>0.35748779678031339</v>
      </c>
      <c r="G159" s="20">
        <f t="shared" si="44"/>
        <v>7.7833180226499765</v>
      </c>
      <c r="I159" s="20">
        <f t="shared" si="39"/>
        <v>0.67845603064390603</v>
      </c>
      <c r="K159" s="20">
        <f t="shared" si="49"/>
        <v>34.654123557526987</v>
      </c>
      <c r="L159" s="20">
        <f t="shared" si="40"/>
        <v>-0.55568910865935095</v>
      </c>
      <c r="M159" s="20">
        <f t="shared" si="45"/>
        <v>-12.09860894098304</v>
      </c>
      <c r="N159" s="1">
        <f t="shared" si="50"/>
        <v>74.978716913461028</v>
      </c>
      <c r="P159" s="20">
        <f t="shared" si="51"/>
        <v>27.935067951413746</v>
      </c>
      <c r="Q159" s="20">
        <f t="shared" si="46"/>
        <v>-0.43934474382881322</v>
      </c>
      <c r="R159" s="20">
        <f t="shared" si="47"/>
        <v>-9.5655289316092578</v>
      </c>
      <c r="S159" s="20">
        <f t="shared" si="52"/>
        <v>53.455695041413271</v>
      </c>
      <c r="T159" s="1">
        <f t="shared" si="53"/>
        <v>0</v>
      </c>
    </row>
    <row r="160" spans="1:20" x14ac:dyDescent="0.25">
      <c r="A160" s="20">
        <f t="shared" si="48"/>
        <v>1.5500000000000012</v>
      </c>
      <c r="C160" s="20">
        <f t="shared" si="38"/>
        <v>44.357304705791584</v>
      </c>
      <c r="D160" s="20">
        <f t="shared" si="41"/>
        <v>0.42263668255161868</v>
      </c>
      <c r="E160" s="20">
        <f t="shared" si="42"/>
        <v>9.2017566416638079</v>
      </c>
      <c r="F160" s="20">
        <f t="shared" si="43"/>
        <v>0.35501481334335971</v>
      </c>
      <c r="G160" s="20">
        <f t="shared" si="44"/>
        <v>7.7294755789975991</v>
      </c>
      <c r="I160" s="20">
        <f t="shared" si="39"/>
        <v>0.67848890343360602</v>
      </c>
      <c r="K160" s="20">
        <f t="shared" si="49"/>
        <v>34.533137468117154</v>
      </c>
      <c r="L160" s="20">
        <f t="shared" si="40"/>
        <v>-0.55184539975557501</v>
      </c>
      <c r="M160" s="20">
        <f t="shared" si="45"/>
        <v>-12.014922703147725</v>
      </c>
      <c r="N160" s="1">
        <f t="shared" si="50"/>
        <v>75.324653218589248</v>
      </c>
      <c r="P160" s="20">
        <f t="shared" si="51"/>
        <v>27.839412662097654</v>
      </c>
      <c r="Q160" s="20">
        <f t="shared" si="46"/>
        <v>-0.43944055999280029</v>
      </c>
      <c r="R160" s="20">
        <f t="shared" si="47"/>
        <v>-9.5676150662486457</v>
      </c>
      <c r="S160" s="20">
        <f t="shared" si="52"/>
        <v>53.734567444480831</v>
      </c>
      <c r="T160" s="1">
        <f t="shared" si="53"/>
        <v>0</v>
      </c>
    </row>
    <row r="161" spans="1:20" x14ac:dyDescent="0.25">
      <c r="A161" s="20">
        <f t="shared" si="48"/>
        <v>1.5600000000000012</v>
      </c>
      <c r="C161" s="20">
        <f t="shared" si="38"/>
        <v>44.203717889981178</v>
      </c>
      <c r="D161" s="20">
        <f t="shared" si="41"/>
        <v>0.4197149971559419</v>
      </c>
      <c r="E161" s="20">
        <f t="shared" si="42"/>
        <v>9.1381449413442617</v>
      </c>
      <c r="F161" s="20">
        <f t="shared" si="43"/>
        <v>0.35256059761099123</v>
      </c>
      <c r="G161" s="20">
        <f t="shared" si="44"/>
        <v>7.6760417507291798</v>
      </c>
      <c r="I161" s="20">
        <f t="shared" si="39"/>
        <v>0.67850975570279437</v>
      </c>
      <c r="K161" s="20">
        <f t="shared" si="49"/>
        <v>34.412988241085678</v>
      </c>
      <c r="L161" s="20">
        <f t="shared" si="40"/>
        <v>-0.54803072552543863</v>
      </c>
      <c r="M161" s="20">
        <f t="shared" si="45"/>
        <v>-11.931868615837985</v>
      </c>
      <c r="N161" s="1">
        <f t="shared" si="50"/>
        <v>75.669383847135251</v>
      </c>
      <c r="P161" s="20">
        <f t="shared" si="51"/>
        <v>27.743736511435166</v>
      </c>
      <c r="Q161" s="20">
        <f t="shared" si="46"/>
        <v>-0.4395289482538402</v>
      </c>
      <c r="R161" s="20">
        <f t="shared" si="47"/>
        <v>-9.5695394786379318</v>
      </c>
      <c r="S161" s="20">
        <f t="shared" si="52"/>
        <v>54.01248319034849</v>
      </c>
      <c r="T161" s="1">
        <f t="shared" si="53"/>
        <v>0</v>
      </c>
    </row>
    <row r="162" spans="1:20" x14ac:dyDescent="0.25">
      <c r="A162" s="20">
        <f t="shared" si="48"/>
        <v>1.5700000000000012</v>
      </c>
      <c r="C162" s="20">
        <f t="shared" si="38"/>
        <v>44.050765590741435</v>
      </c>
      <c r="D162" s="20">
        <f t="shared" si="41"/>
        <v>0.41681545332688902</v>
      </c>
      <c r="E162" s="20">
        <f t="shared" si="42"/>
        <v>9.0750153130173974</v>
      </c>
      <c r="F162" s="20">
        <f t="shared" si="43"/>
        <v>0.35012498079458682</v>
      </c>
      <c r="G162" s="20">
        <f t="shared" si="44"/>
        <v>7.6230128629346137</v>
      </c>
      <c r="I162" s="20">
        <f t="shared" si="39"/>
        <v>0.67851857946356176</v>
      </c>
      <c r="K162" s="20">
        <f t="shared" si="49"/>
        <v>34.293669554927298</v>
      </c>
      <c r="L162" s="20">
        <f t="shared" si="40"/>
        <v>-0.54424482674128782</v>
      </c>
      <c r="M162" s="20">
        <f t="shared" si="45"/>
        <v>-11.849441035081382</v>
      </c>
      <c r="N162" s="1">
        <f t="shared" si="50"/>
        <v>76.01291713611532</v>
      </c>
      <c r="P162" s="20">
        <f t="shared" si="51"/>
        <v>27.648041116648788</v>
      </c>
      <c r="Q162" s="20">
        <f t="shared" si="46"/>
        <v>-0.43961004893768707</v>
      </c>
      <c r="R162" s="20">
        <f t="shared" si="47"/>
        <v>-9.5713052239862204</v>
      </c>
      <c r="S162" s="20">
        <f t="shared" si="52"/>
        <v>54.289442078488911</v>
      </c>
      <c r="T162" s="1">
        <f t="shared" si="53"/>
        <v>0</v>
      </c>
    </row>
    <row r="163" spans="1:20" x14ac:dyDescent="0.25">
      <c r="A163" s="20">
        <f t="shared" si="48"/>
        <v>1.5800000000000012</v>
      </c>
      <c r="C163" s="20">
        <f t="shared" si="38"/>
        <v>43.898443912413278</v>
      </c>
      <c r="D163" s="20">
        <f t="shared" si="41"/>
        <v>0.41393785251688731</v>
      </c>
      <c r="E163" s="20">
        <f t="shared" si="42"/>
        <v>9.0123634338534142</v>
      </c>
      <c r="F163" s="20">
        <f t="shared" si="43"/>
        <v>0.34770779611418534</v>
      </c>
      <c r="G163" s="20">
        <f t="shared" si="44"/>
        <v>7.5703852844368678</v>
      </c>
      <c r="I163" s="20">
        <f t="shared" si="39"/>
        <v>0.67851536631615261</v>
      </c>
      <c r="K163" s="20">
        <f t="shared" si="49"/>
        <v>34.175175144576485</v>
      </c>
      <c r="L163" s="20">
        <f t="shared" si="40"/>
        <v>-0.54048744700756746</v>
      </c>
      <c r="M163" s="20">
        <f t="shared" si="45"/>
        <v>-11.767634378566678</v>
      </c>
      <c r="N163" s="1">
        <f t="shared" si="50"/>
        <v>76.35526135961284</v>
      </c>
      <c r="P163" s="20">
        <f t="shared" si="51"/>
        <v>27.552328064408925</v>
      </c>
      <c r="Q163" s="20">
        <f t="shared" si="46"/>
        <v>-0.43968400010890274</v>
      </c>
      <c r="R163" s="20">
        <f t="shared" si="47"/>
        <v>-9.5729153082713427</v>
      </c>
      <c r="S163" s="20">
        <f t="shared" si="52"/>
        <v>54.565443924394202</v>
      </c>
      <c r="T163" s="1">
        <f t="shared" si="53"/>
        <v>0</v>
      </c>
    </row>
    <row r="164" spans="1:20" x14ac:dyDescent="0.25">
      <c r="A164" s="20">
        <f t="shared" si="48"/>
        <v>1.5900000000000012</v>
      </c>
      <c r="C164" s="20">
        <f t="shared" si="38"/>
        <v>43.746749003135164</v>
      </c>
      <c r="D164" s="20">
        <f t="shared" si="41"/>
        <v>0.41108199853582955</v>
      </c>
      <c r="E164" s="20">
        <f t="shared" si="42"/>
        <v>8.9501850323498715</v>
      </c>
      <c r="F164" s="20">
        <f t="shared" si="43"/>
        <v>0.34530887877009681</v>
      </c>
      <c r="G164" s="20">
        <f t="shared" si="44"/>
        <v>7.5181554271738911</v>
      </c>
      <c r="I164" s="20">
        <f t="shared" si="39"/>
        <v>0.67850010744984757</v>
      </c>
      <c r="K164" s="20">
        <f t="shared" si="49"/>
        <v>34.057498800790817</v>
      </c>
      <c r="L164" s="20">
        <f t="shared" si="40"/>
        <v>-0.53675833272520879</v>
      </c>
      <c r="M164" s="20">
        <f t="shared" si="45"/>
        <v>-11.68644312486847</v>
      </c>
      <c r="N164" s="1">
        <f t="shared" si="50"/>
        <v>76.696424729339682</v>
      </c>
      <c r="P164" s="20">
        <f t="shared" si="51"/>
        <v>27.456598911326211</v>
      </c>
      <c r="Q164" s="20">
        <f t="shared" si="46"/>
        <v>-0.43975093760876488</v>
      </c>
      <c r="R164" s="20">
        <f t="shared" si="47"/>
        <v>-9.5743726890652052</v>
      </c>
      <c r="S164" s="20">
        <f t="shared" si="52"/>
        <v>54.840488559272877</v>
      </c>
      <c r="T164" s="1">
        <f t="shared" si="53"/>
        <v>0</v>
      </c>
    </row>
    <row r="165" spans="1:20" x14ac:dyDescent="0.25">
      <c r="A165" s="20">
        <f t="shared" si="48"/>
        <v>1.6000000000000012</v>
      </c>
      <c r="C165" s="20">
        <f t="shared" si="38"/>
        <v>43.59567705438922</v>
      </c>
      <c r="D165" s="20">
        <f t="shared" si="41"/>
        <v>0.4082476975178399</v>
      </c>
      <c r="E165" s="20">
        <f t="shared" si="42"/>
        <v>8.8884758876080969</v>
      </c>
      <c r="F165" s="20">
        <f t="shared" si="43"/>
        <v>0.34292806591498554</v>
      </c>
      <c r="G165" s="20">
        <f t="shared" si="44"/>
        <v>7.4663197455908019</v>
      </c>
      <c r="I165" s="20">
        <f t="shared" si="39"/>
        <v>0.67847279364383362</v>
      </c>
      <c r="K165" s="20">
        <f t="shared" si="49"/>
        <v>33.940634369542131</v>
      </c>
      <c r="L165" s="20">
        <f t="shared" si="40"/>
        <v>-0.53305723305653352</v>
      </c>
      <c r="M165" s="20">
        <f t="shared" si="45"/>
        <v>-11.605861812683074</v>
      </c>
      <c r="N165" s="1">
        <f t="shared" si="50"/>
        <v>77.036415395191341</v>
      </c>
      <c r="P165" s="20">
        <f t="shared" si="51"/>
        <v>27.360855184435557</v>
      </c>
      <c r="Q165" s="20">
        <f t="shared" si="46"/>
        <v>-0.43981099509246196</v>
      </c>
      <c r="R165" s="20">
        <f t="shared" si="47"/>
        <v>-9.5756802763436095</v>
      </c>
      <c r="S165" s="20">
        <f t="shared" si="52"/>
        <v>55.114575829751686</v>
      </c>
      <c r="T165" s="1">
        <f t="shared" si="53"/>
        <v>0</v>
      </c>
    </row>
    <row r="166" spans="1:20" x14ac:dyDescent="0.25">
      <c r="A166" s="20">
        <f t="shared" si="48"/>
        <v>1.6100000000000012</v>
      </c>
      <c r="C166" s="20">
        <f t="shared" si="38"/>
        <v>43.445224300554507</v>
      </c>
      <c r="D166" s="20">
        <f t="shared" si="41"/>
        <v>0.40543475788858874</v>
      </c>
      <c r="E166" s="20">
        <f t="shared" si="42"/>
        <v>8.8272318286215707</v>
      </c>
      <c r="F166" s="20">
        <f t="shared" si="43"/>
        <v>0.34056519662641455</v>
      </c>
      <c r="G166" s="20">
        <f t="shared" si="44"/>
        <v>7.4148747360421199</v>
      </c>
      <c r="I166" s="20">
        <f t="shared" si="39"/>
        <v>0.67843341526806378</v>
      </c>
      <c r="K166" s="20">
        <f t="shared" si="49"/>
        <v>33.824575751415303</v>
      </c>
      <c r="L166" s="20">
        <f t="shared" si="40"/>
        <v>-0.52938389989065948</v>
      </c>
      <c r="M166" s="20">
        <f t="shared" si="45"/>
        <v>-11.525885040075321</v>
      </c>
      <c r="N166" s="1">
        <f t="shared" si="50"/>
        <v>77.375241445796121</v>
      </c>
      <c r="P166" s="20">
        <f t="shared" si="51"/>
        <v>27.265098381672122</v>
      </c>
      <c r="Q166" s="20">
        <f t="shared" si="46"/>
        <v>-0.43986430406559351</v>
      </c>
      <c r="R166" s="20">
        <f t="shared" si="47"/>
        <v>-9.5768409332809394</v>
      </c>
      <c r="S166" s="20">
        <f t="shared" si="52"/>
        <v>55.387705597582226</v>
      </c>
      <c r="T166" s="1">
        <f t="shared" si="53"/>
        <v>0</v>
      </c>
    </row>
    <row r="167" spans="1:20" x14ac:dyDescent="0.25">
      <c r="A167" s="20">
        <f t="shared" si="48"/>
        <v>1.6200000000000012</v>
      </c>
      <c r="C167" s="20">
        <f t="shared" si="38"/>
        <v>43.295387018467459</v>
      </c>
      <c r="D167" s="20">
        <f t="shared" si="41"/>
        <v>0.40264299033314876</v>
      </c>
      <c r="E167" s="20">
        <f t="shared" si="42"/>
        <v>8.7664487335760679</v>
      </c>
      <c r="F167" s="20">
        <f t="shared" si="43"/>
        <v>0.33822011187984496</v>
      </c>
      <c r="G167" s="20">
        <f t="shared" si="44"/>
        <v>7.3638169362038965</v>
      </c>
      <c r="I167" s="20">
        <f t="shared" si="39"/>
        <v>0.6783819622841063</v>
      </c>
      <c r="K167" s="20">
        <f t="shared" si="49"/>
        <v>33.709316901014553</v>
      </c>
      <c r="L167" s="20">
        <f t="shared" si="40"/>
        <v>-0.52573808780940634</v>
      </c>
      <c r="M167" s="20">
        <f t="shared" si="45"/>
        <v>-11.446507463736259</v>
      </c>
      <c r="N167" s="1">
        <f t="shared" si="50"/>
        <v>77.71291090905828</v>
      </c>
      <c r="P167" s="20">
        <f t="shared" si="51"/>
        <v>27.169329972339312</v>
      </c>
      <c r="Q167" s="20">
        <f t="shared" si="46"/>
        <v>-0.43991099391998656</v>
      </c>
      <c r="R167" s="20">
        <f t="shared" si="47"/>
        <v>-9.5778574770299709</v>
      </c>
      <c r="S167" s="20">
        <f t="shared" si="52"/>
        <v>55.659877739352289</v>
      </c>
      <c r="T167" s="1">
        <f t="shared" si="53"/>
        <v>0</v>
      </c>
    </row>
    <row r="168" spans="1:20" x14ac:dyDescent="0.25">
      <c r="A168" s="20">
        <f t="shared" si="48"/>
        <v>1.6300000000000012</v>
      </c>
      <c r="C168" s="20">
        <f t="shared" si="38"/>
        <v>43.146161526989275</v>
      </c>
      <c r="D168" s="20">
        <f t="shared" si="41"/>
        <v>0.39987220776438093</v>
      </c>
      <c r="E168" s="20">
        <f t="shared" si="42"/>
        <v>8.7061225291613535</v>
      </c>
      <c r="F168" s="20">
        <f t="shared" si="43"/>
        <v>0.33589265452208</v>
      </c>
      <c r="G168" s="20">
        <f t="shared" si="44"/>
        <v>7.313142924495537</v>
      </c>
      <c r="I168" s="20">
        <f t="shared" si="39"/>
        <v>0.6783184242459851</v>
      </c>
      <c r="K168" s="20">
        <f t="shared" si="49"/>
        <v>33.594851826377187</v>
      </c>
      <c r="L168" s="20">
        <f t="shared" si="40"/>
        <v>-0.52211955405368993</v>
      </c>
      <c r="M168" s="20">
        <f t="shared" si="45"/>
        <v>-11.367723798251468</v>
      </c>
      <c r="N168" s="1">
        <f t="shared" si="50"/>
        <v>78.049431752695241</v>
      </c>
      <c r="P168" s="20">
        <f t="shared" si="51"/>
        <v>27.073551397569013</v>
      </c>
      <c r="Q168" s="20">
        <f t="shared" si="46"/>
        <v>-0.43995119196884319</v>
      </c>
      <c r="R168" s="20">
        <f t="shared" si="47"/>
        <v>-9.5787326794871159</v>
      </c>
      <c r="S168" s="20">
        <f t="shared" si="52"/>
        <v>55.931092146201834</v>
      </c>
      <c r="T168" s="1">
        <f t="shared" si="53"/>
        <v>0</v>
      </c>
    </row>
    <row r="169" spans="1:20" x14ac:dyDescent="0.25">
      <c r="A169" s="20">
        <f t="shared" si="48"/>
        <v>1.6400000000000012</v>
      </c>
      <c r="C169" s="20">
        <f t="shared" si="38"/>
        <v>42.997544186580207</v>
      </c>
      <c r="D169" s="20">
        <f t="shared" si="41"/>
        <v>0.39712222529184027</v>
      </c>
      <c r="E169" s="20">
        <f t="shared" si="42"/>
        <v>8.6462491898941938</v>
      </c>
      <c r="F169" s="20">
        <f t="shared" si="43"/>
        <v>0.33358266924514585</v>
      </c>
      <c r="G169" s="20">
        <f t="shared" si="44"/>
        <v>7.2628493195111226</v>
      </c>
      <c r="I169" s="20">
        <f t="shared" si="39"/>
        <v>0.67824279030101164</v>
      </c>
      <c r="K169" s="20">
        <f t="shared" si="49"/>
        <v>33.481174588394673</v>
      </c>
      <c r="L169" s="20">
        <f t="shared" si="40"/>
        <v>-0.51852805849039807</v>
      </c>
      <c r="M169" s="20">
        <f t="shared" si="45"/>
        <v>-11.289528815379883</v>
      </c>
      <c r="N169" s="1">
        <f t="shared" si="50"/>
        <v>78.384811884769107</v>
      </c>
      <c r="P169" s="20">
        <f t="shared" si="51"/>
        <v>26.977764070774143</v>
      </c>
      <c r="Q169" s="20">
        <f t="shared" si="46"/>
        <v>-0.43998502348123425</v>
      </c>
      <c r="R169" s="20">
        <f t="shared" si="47"/>
        <v>-9.5794692680434199</v>
      </c>
      <c r="S169" s="20">
        <f t="shared" si="52"/>
        <v>56.201348723543546</v>
      </c>
      <c r="T169" s="1">
        <f t="shared" si="53"/>
        <v>0</v>
      </c>
    </row>
    <row r="170" spans="1:20" x14ac:dyDescent="0.25">
      <c r="A170" s="20">
        <f t="shared" si="48"/>
        <v>1.6500000000000012</v>
      </c>
      <c r="C170" s="20">
        <f t="shared" si="38"/>
        <v>42.849531398880565</v>
      </c>
      <c r="D170" s="20">
        <f t="shared" si="41"/>
        <v>0.39439286019119169</v>
      </c>
      <c r="E170" s="20">
        <f t="shared" si="42"/>
        <v>8.5868247374524653</v>
      </c>
      <c r="F170" s="20">
        <f t="shared" si="43"/>
        <v>0.33129000256060104</v>
      </c>
      <c r="G170" s="20">
        <f t="shared" si="44"/>
        <v>7.2129327794600711</v>
      </c>
      <c r="I170" s="20">
        <f t="shared" si="39"/>
        <v>0.67815504919060798</v>
      </c>
      <c r="K170" s="20">
        <f t="shared" si="49"/>
        <v>33.368279300240872</v>
      </c>
      <c r="L170" s="20">
        <f t="shared" si="40"/>
        <v>-0.51496336357973949</v>
      </c>
      <c r="M170" s="20">
        <f t="shared" si="45"/>
        <v>-11.211917343342902</v>
      </c>
      <c r="N170" s="1">
        <f t="shared" si="50"/>
        <v>78.719059154212275</v>
      </c>
      <c r="P170" s="20">
        <f t="shared" si="51"/>
        <v>26.881969378093707</v>
      </c>
      <c r="Q170" s="20">
        <f t="shared" si="46"/>
        <v>-0.44001261171594885</v>
      </c>
      <c r="R170" s="20">
        <f t="shared" si="47"/>
        <v>-9.580069926321551</v>
      </c>
      <c r="S170" s="20">
        <f t="shared" si="52"/>
        <v>56.470647390787889</v>
      </c>
      <c r="T170" s="1">
        <f t="shared" si="53"/>
        <v>0</v>
      </c>
    </row>
    <row r="171" spans="1:20" x14ac:dyDescent="0.25">
      <c r="A171" s="20">
        <f t="shared" si="48"/>
        <v>1.6600000000000013</v>
      </c>
      <c r="C171" s="20">
        <f t="shared" si="38"/>
        <v>42.702119606298432</v>
      </c>
      <c r="D171" s="20">
        <f t="shared" si="41"/>
        <v>0.39168393187412637</v>
      </c>
      <c r="E171" s="20">
        <f t="shared" si="42"/>
        <v>8.5278452400201701</v>
      </c>
      <c r="F171" s="20">
        <f t="shared" si="43"/>
        <v>0.32901450277426614</v>
      </c>
      <c r="G171" s="20">
        <f t="shared" si="44"/>
        <v>7.1633900016169418</v>
      </c>
      <c r="I171" s="20">
        <f t="shared" si="39"/>
        <v>0.67805518925112407</v>
      </c>
      <c r="K171" s="20">
        <f t="shared" si="49"/>
        <v>33.256160126807444</v>
      </c>
      <c r="L171" s="20">
        <f t="shared" si="40"/>
        <v>-0.5114252343430592</v>
      </c>
      <c r="M171" s="20">
        <f t="shared" si="45"/>
        <v>-11.134884266123649</v>
      </c>
      <c r="N171" s="1">
        <f t="shared" si="50"/>
        <v>79.052181351347514</v>
      </c>
      <c r="P171" s="20">
        <f t="shared" si="51"/>
        <v>26.786168678830492</v>
      </c>
      <c r="Q171" s="20">
        <f t="shared" si="46"/>
        <v>-0.44003407795471661</v>
      </c>
      <c r="R171" s="20">
        <f t="shared" si="47"/>
        <v>-9.5805372948991216</v>
      </c>
      <c r="S171" s="20">
        <f t="shared" si="52"/>
        <v>56.738988081072506</v>
      </c>
      <c r="T171" s="1">
        <f t="shared" si="53"/>
        <v>0</v>
      </c>
    </row>
    <row r="172" spans="1:20" x14ac:dyDescent="0.25">
      <c r="A172" s="20">
        <f t="shared" si="48"/>
        <v>1.6700000000000013</v>
      </c>
      <c r="C172" s="20">
        <f t="shared" si="38"/>
        <v>42.555305291603908</v>
      </c>
      <c r="D172" s="20">
        <f t="shared" si="41"/>
        <v>0.38899526185877004</v>
      </c>
      <c r="E172" s="20">
        <f t="shared" si="42"/>
        <v>8.469306811643154</v>
      </c>
      <c r="F172" s="20">
        <f t="shared" si="43"/>
        <v>0.32675601996136683</v>
      </c>
      <c r="G172" s="20">
        <f t="shared" si="44"/>
        <v>7.1142177217802489</v>
      </c>
      <c r="I172" s="20">
        <f t="shared" si="39"/>
        <v>0.67794319841464867</v>
      </c>
      <c r="K172" s="20">
        <f t="shared" si="49"/>
        <v>33.144811284146208</v>
      </c>
      <c r="L172" s="20">
        <f t="shared" si="40"/>
        <v>-0.50791343833111235</v>
      </c>
      <c r="M172" s="20">
        <f t="shared" si="45"/>
        <v>-11.058424522776233</v>
      </c>
      <c r="N172" s="1">
        <f t="shared" si="50"/>
        <v>79.384186208402269</v>
      </c>
      <c r="P172" s="20">
        <f t="shared" si="51"/>
        <v>26.690363305881501</v>
      </c>
      <c r="Q172" s="20">
        <f t="shared" si="46"/>
        <v>-0.44004954153481302</v>
      </c>
      <c r="R172" s="20">
        <f t="shared" si="47"/>
        <v>-9.5808739720185727</v>
      </c>
      <c r="S172" s="20">
        <f t="shared" si="52"/>
        <v>57.006370740996068</v>
      </c>
      <c r="T172" s="1">
        <f t="shared" si="53"/>
        <v>0</v>
      </c>
    </row>
    <row r="173" spans="1:20" x14ac:dyDescent="0.25">
      <c r="A173" s="20">
        <f t="shared" si="48"/>
        <v>1.6800000000000013</v>
      </c>
      <c r="C173" s="20">
        <f t="shared" si="38"/>
        <v>42.40908497752978</v>
      </c>
      <c r="D173" s="20">
        <f t="shared" si="41"/>
        <v>0.38632667374057228</v>
      </c>
      <c r="E173" s="20">
        <f t="shared" si="42"/>
        <v>8.4112056115953031</v>
      </c>
      <c r="F173" s="20">
        <f t="shared" si="43"/>
        <v>0.3245144059420807</v>
      </c>
      <c r="G173" s="20">
        <f t="shared" si="44"/>
        <v>7.0654127137400549</v>
      </c>
      <c r="I173" s="20">
        <f t="shared" si="39"/>
        <v>0.67781906420981375</v>
      </c>
      <c r="K173" s="20">
        <f t="shared" si="49"/>
        <v>33.034227038918445</v>
      </c>
      <c r="L173" s="20">
        <f t="shared" si="40"/>
        <v>-0.50442774559278813</v>
      </c>
      <c r="M173" s="20">
        <f t="shared" si="45"/>
        <v>-10.982533106744789</v>
      </c>
      <c r="N173" s="1">
        <f t="shared" si="50"/>
        <v>79.715081400017581</v>
      </c>
      <c r="P173" s="20">
        <f t="shared" si="51"/>
        <v>26.594554566161314</v>
      </c>
      <c r="Q173" s="20">
        <f t="shared" si="46"/>
        <v>-0.44005911988105983</v>
      </c>
      <c r="R173" s="20">
        <f t="shared" si="47"/>
        <v>-9.5810825142839064</v>
      </c>
      <c r="S173" s="20">
        <f t="shared" si="52"/>
        <v>57.272795330356281</v>
      </c>
      <c r="T173" s="1">
        <f t="shared" si="53"/>
        <v>0</v>
      </c>
    </row>
    <row r="174" spans="1:20" x14ac:dyDescent="0.25">
      <c r="A174" s="20">
        <f t="shared" si="48"/>
        <v>1.6900000000000013</v>
      </c>
      <c r="C174" s="20">
        <f t="shared" si="38"/>
        <v>42.263455226378589</v>
      </c>
      <c r="D174" s="20">
        <f t="shared" si="41"/>
        <v>0.38367799316366963</v>
      </c>
      <c r="E174" s="20">
        <f t="shared" si="42"/>
        <v>8.3535378437550545</v>
      </c>
      <c r="F174" s="20">
        <f t="shared" si="43"/>
        <v>0.32228951425748253</v>
      </c>
      <c r="G174" s="20">
        <f t="shared" si="44"/>
        <v>7.0169717887542467</v>
      </c>
      <c r="I174" s="20">
        <f t="shared" si="39"/>
        <v>0.67768277376259556</v>
      </c>
      <c r="K174" s="20">
        <f t="shared" si="49"/>
        <v>32.924401707850997</v>
      </c>
      <c r="L174" s="20">
        <f t="shared" si="40"/>
        <v>-0.50096792864427919</v>
      </c>
      <c r="M174" s="20">
        <f t="shared" si="45"/>
        <v>-10.907205065192231</v>
      </c>
      <c r="N174" s="1">
        <f t="shared" si="50"/>
        <v>80.044874543751419</v>
      </c>
      <c r="P174" s="20">
        <f t="shared" si="51"/>
        <v>26.498743741018476</v>
      </c>
      <c r="Q174" s="20">
        <f t="shared" si="46"/>
        <v>-0.44006292853723428</v>
      </c>
      <c r="R174" s="20">
        <f t="shared" si="47"/>
        <v>-9.5811654373445307</v>
      </c>
      <c r="S174" s="20">
        <f t="shared" si="52"/>
        <v>57.538261821892185</v>
      </c>
      <c r="T174" s="1">
        <f t="shared" si="53"/>
        <v>0</v>
      </c>
    </row>
    <row r="175" spans="1:20" x14ac:dyDescent="0.25">
      <c r="A175" s="20">
        <f t="shared" si="48"/>
        <v>1.7000000000000013</v>
      </c>
      <c r="C175" s="20">
        <f t="shared" si="38"/>
        <v>42.118412639635871</v>
      </c>
      <c r="D175" s="20">
        <f t="shared" si="41"/>
        <v>0.38104904779271237</v>
      </c>
      <c r="E175" s="20">
        <f t="shared" si="42"/>
        <v>8.2962997559919955</v>
      </c>
      <c r="F175" s="20">
        <f t="shared" si="43"/>
        <v>0.32008120014587843</v>
      </c>
      <c r="G175" s="20">
        <f t="shared" si="44"/>
        <v>6.9688917950332776</v>
      </c>
      <c r="I175" s="20">
        <f t="shared" si="39"/>
        <v>0.6775343137971116</v>
      </c>
      <c r="K175" s="20">
        <f t="shared" si="49"/>
        <v>32.815329657199072</v>
      </c>
      <c r="L175" s="20">
        <f t="shared" si="40"/>
        <v>-0.49753376243868552</v>
      </c>
      <c r="M175" s="20">
        <f t="shared" si="45"/>
        <v>-10.832435498338462</v>
      </c>
      <c r="N175" s="1">
        <f t="shared" si="50"/>
        <v>80.373573200576672</v>
      </c>
      <c r="P175" s="20">
        <f t="shared" si="51"/>
        <v>26.402932086645031</v>
      </c>
      <c r="Q175" s="20">
        <f t="shared" si="46"/>
        <v>-0.44006108119689835</v>
      </c>
      <c r="R175" s="20">
        <f t="shared" si="47"/>
        <v>-9.5811252165664786</v>
      </c>
      <c r="S175" s="20">
        <f t="shared" si="52"/>
        <v>57.802770201030505</v>
      </c>
      <c r="T175" s="1">
        <f t="shared" si="53"/>
        <v>0</v>
      </c>
    </row>
    <row r="176" spans="1:20" x14ac:dyDescent="0.25">
      <c r="A176" s="20">
        <f t="shared" si="48"/>
        <v>1.7100000000000013</v>
      </c>
      <c r="C176" s="20">
        <f t="shared" si="38"/>
        <v>41.973953857589635</v>
      </c>
      <c r="D176" s="20">
        <f t="shared" si="41"/>
        <v>0.37843966728514788</v>
      </c>
      <c r="E176" s="20">
        <f t="shared" si="42"/>
        <v>8.2394876395634196</v>
      </c>
      <c r="F176" s="20">
        <f t="shared" si="43"/>
        <v>0.31788932051952423</v>
      </c>
      <c r="G176" s="20">
        <f t="shared" si="44"/>
        <v>6.9211696172332733</v>
      </c>
      <c r="I176" s="20">
        <f t="shared" si="39"/>
        <v>0.67737367063641396</v>
      </c>
      <c r="K176" s="20">
        <f t="shared" si="49"/>
        <v>32.707005302215684</v>
      </c>
      <c r="L176" s="20">
        <f t="shared" si="40"/>
        <v>-0.49412502433605049</v>
      </c>
      <c r="M176" s="20">
        <f t="shared" si="45"/>
        <v>-10.75821955880798</v>
      </c>
      <c r="N176" s="1">
        <f t="shared" si="50"/>
        <v>80.701184875373755</v>
      </c>
      <c r="P176" s="20">
        <f t="shared" si="51"/>
        <v>26.307120834479367</v>
      </c>
      <c r="Q176" s="20">
        <f t="shared" si="46"/>
        <v>-0.44005368973365799</v>
      </c>
      <c r="R176" s="20">
        <f t="shared" si="47"/>
        <v>-9.5809642876912253</v>
      </c>
      <c r="S176" s="20">
        <f t="shared" si="52"/>
        <v>58.066320465636124</v>
      </c>
      <c r="T176" s="1">
        <f t="shared" si="53"/>
        <v>0</v>
      </c>
    </row>
    <row r="177" spans="1:20" x14ac:dyDescent="0.25">
      <c r="A177" s="20">
        <f t="shared" si="48"/>
        <v>1.7200000000000013</v>
      </c>
      <c r="C177" s="20">
        <f t="shared" si="38"/>
        <v>41.830075558955784</v>
      </c>
      <c r="D177" s="20">
        <f t="shared" si="41"/>
        <v>0.37584968326394946</v>
      </c>
      <c r="E177" s="20">
        <f t="shared" si="42"/>
        <v>8.1830978285205642</v>
      </c>
      <c r="F177" s="20">
        <f t="shared" si="43"/>
        <v>0.31571373394171753</v>
      </c>
      <c r="G177" s="20">
        <f t="shared" si="44"/>
        <v>6.8738021759572732</v>
      </c>
      <c r="I177" s="20">
        <f t="shared" si="39"/>
        <v>0.6772008302032807</v>
      </c>
      <c r="K177" s="20">
        <f t="shared" si="49"/>
        <v>32.599423106627604</v>
      </c>
      <c r="L177" s="20">
        <f t="shared" si="40"/>
        <v>-0.49074149407381662</v>
      </c>
      <c r="M177" s="20">
        <f t="shared" si="45"/>
        <v>-10.684552450986645</v>
      </c>
      <c r="N177" s="1">
        <f t="shared" si="50"/>
        <v>81.02771701741797</v>
      </c>
      <c r="P177" s="20">
        <f t="shared" si="51"/>
        <v>26.211311191602455</v>
      </c>
      <c r="Q177" s="20">
        <f t="shared" si="46"/>
        <v>-0.4400408642308663</v>
      </c>
      <c r="R177" s="20">
        <f t="shared" si="47"/>
        <v>-9.5806850474823939</v>
      </c>
      <c r="S177" s="20">
        <f t="shared" si="52"/>
        <v>58.328912625766527</v>
      </c>
      <c r="T177" s="1">
        <f t="shared" si="53"/>
        <v>0</v>
      </c>
    </row>
    <row r="178" spans="1:20" x14ac:dyDescent="0.25">
      <c r="A178" s="20">
        <f t="shared" si="48"/>
        <v>1.7300000000000013</v>
      </c>
      <c r="C178" s="20">
        <f t="shared" si="38"/>
        <v>41.686774460509618</v>
      </c>
      <c r="D178" s="20">
        <f t="shared" si="41"/>
        <v>0.3732789292907866</v>
      </c>
      <c r="E178" s="20">
        <f t="shared" si="42"/>
        <v>8.1271266991244637</v>
      </c>
      <c r="F178" s="20">
        <f t="shared" si="43"/>
        <v>0.31355430060426076</v>
      </c>
      <c r="G178" s="20">
        <f t="shared" si="44"/>
        <v>6.8267864272645493</v>
      </c>
      <c r="I178" s="20">
        <f t="shared" si="39"/>
        <v>0.6770157780210071</v>
      </c>
      <c r="K178" s="20">
        <f t="shared" si="49"/>
        <v>32.49257758211774</v>
      </c>
      <c r="L178" s="20">
        <f t="shared" si="40"/>
        <v>-0.48738295373770113</v>
      </c>
      <c r="M178" s="20">
        <f t="shared" si="45"/>
        <v>-10.611429430387572</v>
      </c>
      <c r="N178" s="1">
        <f t="shared" si="50"/>
        <v>81.353177020861693</v>
      </c>
      <c r="P178" s="20">
        <f t="shared" si="51"/>
        <v>26.115504341127632</v>
      </c>
      <c r="Q178" s="20">
        <f t="shared" si="46"/>
        <v>-0.44002271301078011</v>
      </c>
      <c r="R178" s="20">
        <f t="shared" si="47"/>
        <v>-9.5802898543605508</v>
      </c>
      <c r="S178" s="20">
        <f t="shared" si="52"/>
        <v>58.590546703430178</v>
      </c>
      <c r="T178" s="1">
        <f t="shared" si="53"/>
        <v>0</v>
      </c>
    </row>
    <row r="179" spans="1:20" x14ac:dyDescent="0.25">
      <c r="A179" s="20">
        <f t="shared" si="48"/>
        <v>1.7400000000000013</v>
      </c>
      <c r="C179" s="20">
        <f t="shared" si="38"/>
        <v>41.544047316723059</v>
      </c>
      <c r="D179" s="20">
        <f t="shared" si="41"/>
        <v>0.370727240839623</v>
      </c>
      <c r="E179" s="20">
        <f t="shared" si="42"/>
        <v>8.0715706692711304</v>
      </c>
      <c r="F179" s="20">
        <f t="shared" si="43"/>
        <v>0.31141088230528335</v>
      </c>
      <c r="G179" s="20">
        <f t="shared" si="44"/>
        <v>6.78011936218775</v>
      </c>
      <c r="I179" s="20">
        <f t="shared" si="39"/>
        <v>0.67681849921419479</v>
      </c>
      <c r="K179" s="20">
        <f t="shared" si="49"/>
        <v>32.386463287813861</v>
      </c>
      <c r="L179" s="20">
        <f t="shared" si="40"/>
        <v>-0.48404918773297612</v>
      </c>
      <c r="M179" s="20">
        <f t="shared" si="45"/>
        <v>-10.538845803025826</v>
      </c>
      <c r="N179" s="1">
        <f t="shared" si="50"/>
        <v>81.67757222521135</v>
      </c>
      <c r="P179" s="20">
        <f t="shared" si="51"/>
        <v>26.019701442584026</v>
      </c>
      <c r="Q179" s="20">
        <f t="shared" si="46"/>
        <v>-0.4399993426631803</v>
      </c>
      <c r="R179" s="20">
        <f t="shared" si="47"/>
        <v>-9.5797810290263516</v>
      </c>
      <c r="S179" s="20">
        <f t="shared" si="52"/>
        <v>58.851222732348738</v>
      </c>
      <c r="T179" s="1">
        <f t="shared" si="53"/>
        <v>0</v>
      </c>
    </row>
    <row r="180" spans="1:20" x14ac:dyDescent="0.25">
      <c r="A180" s="20">
        <f t="shared" si="48"/>
        <v>1.7500000000000013</v>
      </c>
      <c r="C180" s="20">
        <f t="shared" si="38"/>
        <v>41.401890919407805</v>
      </c>
      <c r="D180" s="20">
        <f t="shared" si="41"/>
        <v>0.36819445527074085</v>
      </c>
      <c r="E180" s="20">
        <f t="shared" si="42"/>
        <v>8.016426197925993</v>
      </c>
      <c r="F180" s="20">
        <f t="shared" si="43"/>
        <v>0.30928334242742234</v>
      </c>
      <c r="G180" s="20">
        <f t="shared" si="44"/>
        <v>6.7337980062578344</v>
      </c>
      <c r="I180" s="20">
        <f t="shared" si="39"/>
        <v>0.67660897850954216</v>
      </c>
      <c r="K180" s="20">
        <f t="shared" si="49"/>
        <v>32.281074829783606</v>
      </c>
      <c r="L180" s="20">
        <f t="shared" si="40"/>
        <v>-0.48073998275615715</v>
      </c>
      <c r="M180" s="20">
        <f t="shared" si="45"/>
        <v>-10.466796924802029</v>
      </c>
      <c r="N180" s="1">
        <f t="shared" si="50"/>
        <v>82.00090991579934</v>
      </c>
      <c r="P180" s="20">
        <f t="shared" si="51"/>
        <v>25.923903632293761</v>
      </c>
      <c r="Q180" s="20">
        <f t="shared" si="46"/>
        <v>-0.4399708580734682</v>
      </c>
      <c r="R180" s="20">
        <f t="shared" si="47"/>
        <v>-9.5791608550722458</v>
      </c>
      <c r="S180" s="20">
        <f t="shared" si="52"/>
        <v>59.110940757723128</v>
      </c>
      <c r="T180" s="1">
        <f t="shared" si="53"/>
        <v>0</v>
      </c>
    </row>
    <row r="181" spans="1:20" x14ac:dyDescent="0.25">
      <c r="A181" s="20">
        <f t="shared" si="48"/>
        <v>1.7600000000000013</v>
      </c>
      <c r="C181" s="20">
        <f t="shared" si="38"/>
        <v>41.260302097364018</v>
      </c>
      <c r="D181" s="20">
        <f t="shared" si="41"/>
        <v>0.36568041180517735</v>
      </c>
      <c r="E181" s="20">
        <f t="shared" si="42"/>
        <v>7.9616897845673273</v>
      </c>
      <c r="F181" s="20">
        <f t="shared" si="43"/>
        <v>0.30717154591634899</v>
      </c>
      <c r="G181" s="20">
        <f t="shared" si="44"/>
        <v>6.6878194190365559</v>
      </c>
      <c r="I181" s="20">
        <f t="shared" si="39"/>
        <v>0.67638720023663623</v>
      </c>
      <c r="K181" s="20">
        <f t="shared" si="49"/>
        <v>32.176406860535586</v>
      </c>
      <c r="L181" s="20">
        <f t="shared" si="40"/>
        <v>-0.47745512776708299</v>
      </c>
      <c r="M181" s="20">
        <f t="shared" si="45"/>
        <v>-10.39527820089447</v>
      </c>
      <c r="N181" s="1">
        <f t="shared" si="50"/>
        <v>82.323197324250941</v>
      </c>
      <c r="P181" s="20">
        <f t="shared" si="51"/>
        <v>25.828112023743039</v>
      </c>
      <c r="Q181" s="20">
        <f t="shared" si="46"/>
        <v>-0.43993736245024651</v>
      </c>
      <c r="R181" s="20">
        <f t="shared" si="47"/>
        <v>-9.5784315795829862</v>
      </c>
      <c r="S181" s="20">
        <f t="shared" si="52"/>
        <v>59.369700836003311</v>
      </c>
      <c r="T181" s="1">
        <f t="shared" si="53"/>
        <v>0</v>
      </c>
    </row>
    <row r="182" spans="1:20" x14ac:dyDescent="0.25">
      <c r="A182" s="20">
        <f t="shared" si="48"/>
        <v>1.7700000000000014</v>
      </c>
      <c r="C182" s="20">
        <f t="shared" si="38"/>
        <v>41.119277716034702</v>
      </c>
      <c r="D182" s="20">
        <f t="shared" si="41"/>
        <v>0.3631849514995702</v>
      </c>
      <c r="E182" s="20">
        <f t="shared" si="42"/>
        <v>7.9073579686385846</v>
      </c>
      <c r="F182" s="20">
        <f t="shared" si="43"/>
        <v>0.30507535925963897</v>
      </c>
      <c r="G182" s="20">
        <f t="shared" si="44"/>
        <v>6.6421806936564112</v>
      </c>
      <c r="I182" s="20">
        <f t="shared" si="39"/>
        <v>0.67615314832874629</v>
      </c>
      <c r="K182" s="20">
        <f t="shared" si="49"/>
        <v>32.07245407852664</v>
      </c>
      <c r="L182" s="20">
        <f t="shared" si="40"/>
        <v>-0.47419441396138828</v>
      </c>
      <c r="M182" s="20">
        <f t="shared" si="45"/>
        <v>-10.324285085159771</v>
      </c>
      <c r="N182" s="1">
        <f t="shared" si="50"/>
        <v>82.644441628946254</v>
      </c>
      <c r="P182" s="20">
        <f t="shared" si="51"/>
        <v>25.73232770794721</v>
      </c>
      <c r="Q182" s="20">
        <f t="shared" si="46"/>
        <v>-0.43989895735239626</v>
      </c>
      <c r="R182" s="20">
        <f t="shared" si="47"/>
        <v>-9.5775954137251524</v>
      </c>
      <c r="S182" s="20">
        <f t="shared" si="52"/>
        <v>59.627503034661757</v>
      </c>
      <c r="T182" s="1">
        <f t="shared" si="53"/>
        <v>0</v>
      </c>
    </row>
    <row r="183" spans="1:20" x14ac:dyDescent="0.25">
      <c r="A183" s="20">
        <f t="shared" si="48"/>
        <v>1.7800000000000014</v>
      </c>
      <c r="C183" s="20">
        <f t="shared" si="38"/>
        <v>40.978814677165573</v>
      </c>
      <c r="D183" s="20">
        <f t="shared" si="41"/>
        <v>0.36070791722140366</v>
      </c>
      <c r="E183" s="20">
        <f t="shared" si="42"/>
        <v>7.8534273290094418</v>
      </c>
      <c r="F183" s="20">
        <f t="shared" si="43"/>
        <v>0.30299465046597907</v>
      </c>
      <c r="G183" s="20">
        <f t="shared" si="44"/>
        <v>6.5968789563679309</v>
      </c>
      <c r="I183" s="20">
        <f t="shared" si="39"/>
        <v>0.6759068063236201</v>
      </c>
      <c r="K183" s="20">
        <f t="shared" si="49"/>
        <v>31.969211227675043</v>
      </c>
      <c r="L183" s="20">
        <f t="shared" si="40"/>
        <v>-0.47095763474336061</v>
      </c>
      <c r="M183" s="20">
        <f t="shared" si="45"/>
        <v>-10.253813079541926</v>
      </c>
      <c r="N183" s="1">
        <f t="shared" si="50"/>
        <v>82.964649955477256</v>
      </c>
      <c r="P183" s="20">
        <f t="shared" si="51"/>
        <v>25.636551753809957</v>
      </c>
      <c r="Q183" s="20">
        <f t="shared" si="46"/>
        <v>-0.43985574271565842</v>
      </c>
      <c r="R183" s="20">
        <f t="shared" si="47"/>
        <v>-9.5766545333258968</v>
      </c>
      <c r="S183" s="20">
        <f t="shared" si="52"/>
        <v>59.884347431970539</v>
      </c>
      <c r="T183" s="1">
        <f t="shared" si="53"/>
        <v>0</v>
      </c>
    </row>
    <row r="184" spans="1:20" x14ac:dyDescent="0.25">
      <c r="A184" s="20">
        <f t="shared" si="48"/>
        <v>1.7900000000000014</v>
      </c>
      <c r="C184" s="20">
        <f t="shared" si="38"/>
        <v>40.838909918470321</v>
      </c>
      <c r="D184" s="20">
        <f t="shared" si="41"/>
        <v>0.3582491536246461</v>
      </c>
      <c r="E184" s="20">
        <f t="shared" si="42"/>
        <v>7.7998944834453754</v>
      </c>
      <c r="F184" s="20">
        <f t="shared" si="43"/>
        <v>0.30092928904470273</v>
      </c>
      <c r="G184" s="20">
        <f t="shared" si="44"/>
        <v>6.5519113660941155</v>
      </c>
      <c r="I184" s="20">
        <f t="shared" si="39"/>
        <v>0.67564815736428585</v>
      </c>
      <c r="K184" s="20">
        <f t="shared" si="49"/>
        <v>31.866673096879623</v>
      </c>
      <c r="L184" s="20">
        <f t="shared" si="40"/>
        <v>-0.46774458569917327</v>
      </c>
      <c r="M184" s="20">
        <f t="shared" si="45"/>
        <v>-10.183857733489512</v>
      </c>
      <c r="N184" s="1">
        <f t="shared" si="50"/>
        <v>83.283829377100034</v>
      </c>
      <c r="P184" s="20">
        <f t="shared" si="51"/>
        <v>25.540785208476699</v>
      </c>
      <c r="Q184" s="20">
        <f t="shared" si="46"/>
        <v>-0.43980781687873183</v>
      </c>
      <c r="R184" s="20">
        <f t="shared" si="47"/>
        <v>-9.5756110794411455</v>
      </c>
      <c r="S184" s="20">
        <f t="shared" si="52"/>
        <v>60.140234116781976</v>
      </c>
      <c r="T184" s="1">
        <f t="shared" si="53"/>
        <v>0</v>
      </c>
    </row>
    <row r="185" spans="1:20" x14ac:dyDescent="0.25">
      <c r="A185" s="20">
        <f t="shared" si="48"/>
        <v>1.8000000000000014</v>
      </c>
      <c r="C185" s="20">
        <f t="shared" si="38"/>
        <v>40.699560413301249</v>
      </c>
      <c r="D185" s="20">
        <f t="shared" si="41"/>
        <v>0.35580850712577422</v>
      </c>
      <c r="E185" s="20">
        <f t="shared" si="42"/>
        <v>7.7467560880856574</v>
      </c>
      <c r="F185" s="20">
        <f t="shared" si="43"/>
        <v>0.29887914598565035</v>
      </c>
      <c r="G185" s="20">
        <f t="shared" si="44"/>
        <v>6.5072751139919518</v>
      </c>
      <c r="I185" s="20">
        <f t="shared" si="39"/>
        <v>0.67537718419985682</v>
      </c>
      <c r="K185" s="20">
        <f t="shared" si="49"/>
        <v>31.764834519544728</v>
      </c>
      <c r="L185" s="20">
        <f t="shared" si="40"/>
        <v>-0.46455506457049134</v>
      </c>
      <c r="M185" s="20">
        <f t="shared" si="45"/>
        <v>-10.114414643381044</v>
      </c>
      <c r="N185" s="1">
        <f t="shared" si="50"/>
        <v>83.601986915182167</v>
      </c>
      <c r="P185" s="20">
        <f t="shared" si="51"/>
        <v>25.445029097682287</v>
      </c>
      <c r="Q185" s="20">
        <f t="shared" si="46"/>
        <v>-0.43975527660889424</v>
      </c>
      <c r="R185" s="20">
        <f t="shared" si="47"/>
        <v>-9.5744671589134391</v>
      </c>
      <c r="S185" s="20">
        <f t="shared" si="52"/>
        <v>60.395163188312772</v>
      </c>
      <c r="T185" s="1">
        <f t="shared" si="53"/>
        <v>0</v>
      </c>
    </row>
    <row r="186" spans="1:20" x14ac:dyDescent="0.25">
      <c r="A186" s="20">
        <f t="shared" si="48"/>
        <v>1.8100000000000014</v>
      </c>
      <c r="C186" s="20">
        <f t="shared" si="38"/>
        <v>40.56076317032516</v>
      </c>
      <c r="D186" s="20">
        <f t="shared" si="41"/>
        <v>0.35338582588017586</v>
      </c>
      <c r="E186" s="20">
        <f t="shared" si="42"/>
        <v>7.6940088369295854</v>
      </c>
      <c r="F186" s="20">
        <f t="shared" si="43"/>
        <v>0.29684409373934773</v>
      </c>
      <c r="G186" s="20">
        <f t="shared" si="44"/>
        <v>6.462967423020852</v>
      </c>
      <c r="I186" s="20">
        <f t="shared" si="39"/>
        <v>0.67509386918634373</v>
      </c>
      <c r="K186" s="20">
        <f t="shared" si="49"/>
        <v>31.663690373110917</v>
      </c>
      <c r="L186" s="20">
        <f t="shared" si="40"/>
        <v>-0.46138887122844374</v>
      </c>
      <c r="M186" s="20">
        <f t="shared" si="45"/>
        <v>-10.045479451958279</v>
      </c>
      <c r="N186" s="1">
        <f t="shared" si="50"/>
        <v>83.919129539645454</v>
      </c>
      <c r="P186" s="20">
        <f t="shared" si="51"/>
        <v>25.349284426093153</v>
      </c>
      <c r="Q186" s="20">
        <f t="shared" si="46"/>
        <v>-0.43969821712715784</v>
      </c>
      <c r="R186" s="20">
        <f t="shared" si="47"/>
        <v>-9.5732248449196131</v>
      </c>
      <c r="S186" s="20">
        <f t="shared" si="52"/>
        <v>60.649134755931648</v>
      </c>
      <c r="T186" s="1">
        <f t="shared" si="53"/>
        <v>0</v>
      </c>
    </row>
    <row r="187" spans="1:20" x14ac:dyDescent="0.25">
      <c r="A187" s="20">
        <f t="shared" si="48"/>
        <v>1.8200000000000014</v>
      </c>
      <c r="C187" s="20">
        <f t="shared" si="38"/>
        <v>40.422515233204372</v>
      </c>
      <c r="D187" s="20">
        <f t="shared" si="41"/>
        <v>0.35098095975892363</v>
      </c>
      <c r="E187" s="20">
        <f t="shared" si="42"/>
        <v>7.6416494613307995</v>
      </c>
      <c r="F187" s="20">
        <f t="shared" si="43"/>
        <v>0.29482400619749582</v>
      </c>
      <c r="G187" s="20">
        <f t="shared" si="44"/>
        <v>6.4189855475178712</v>
      </c>
      <c r="I187" s="20">
        <f t="shared" si="39"/>
        <v>0.67479819428747256</v>
      </c>
      <c r="K187" s="20">
        <f t="shared" si="49"/>
        <v>31.563235578591335</v>
      </c>
      <c r="L187" s="20">
        <f t="shared" si="40"/>
        <v>-0.45824580764795442</v>
      </c>
      <c r="M187" s="20">
        <f t="shared" si="45"/>
        <v>-9.9770478477673503</v>
      </c>
      <c r="N187" s="1">
        <f t="shared" si="50"/>
        <v>84.235264169403962</v>
      </c>
      <c r="P187" s="20">
        <f t="shared" si="51"/>
        <v>25.253552177643957</v>
      </c>
      <c r="Q187" s="20">
        <f t="shared" si="46"/>
        <v>-0.43963673213296739</v>
      </c>
      <c r="R187" s="20">
        <f t="shared" si="47"/>
        <v>-9.571886177508544</v>
      </c>
      <c r="S187" s="20">
        <f t="shared" si="52"/>
        <v>60.902148938950333</v>
      </c>
      <c r="T187" s="1">
        <f t="shared" si="53"/>
        <v>0</v>
      </c>
    </row>
    <row r="188" spans="1:20" x14ac:dyDescent="0.25">
      <c r="A188" s="20">
        <f t="shared" si="48"/>
        <v>1.8300000000000014</v>
      </c>
      <c r="C188" s="20">
        <f t="shared" si="38"/>
        <v>40.284813680282944</v>
      </c>
      <c r="D188" s="20">
        <f t="shared" si="41"/>
        <v>0.34859376032591544</v>
      </c>
      <c r="E188" s="20">
        <f t="shared" si="42"/>
        <v>7.5896747294995741</v>
      </c>
      <c r="F188" s="20">
        <f t="shared" si="43"/>
        <v>0.29281875867376894</v>
      </c>
      <c r="G188" s="20">
        <f t="shared" si="44"/>
        <v>6.3753267727796414</v>
      </c>
      <c r="I188" s="20">
        <f t="shared" si="39"/>
        <v>0.67449014107551097</v>
      </c>
      <c r="K188" s="20">
        <f t="shared" si="49"/>
        <v>31.463465100113662</v>
      </c>
      <c r="L188" s="20">
        <f t="shared" si="40"/>
        <v>-0.4551256778824293</v>
      </c>
      <c r="M188" s="20">
        <f t="shared" si="45"/>
        <v>-9.9091155646076494</v>
      </c>
      <c r="N188" s="1">
        <f t="shared" si="50"/>
        <v>84.550397672797487</v>
      </c>
      <c r="P188" s="20">
        <f t="shared" si="51"/>
        <v>25.157833315868871</v>
      </c>
      <c r="Q188" s="20">
        <f t="shared" si="46"/>
        <v>-0.43957091382845015</v>
      </c>
      <c r="R188" s="20">
        <f t="shared" si="47"/>
        <v>-9.5704531641291126</v>
      </c>
      <c r="S188" s="20">
        <f t="shared" si="52"/>
        <v>61.154205866417897</v>
      </c>
      <c r="T188" s="1">
        <f t="shared" si="53"/>
        <v>0</v>
      </c>
    </row>
    <row r="189" spans="1:20" x14ac:dyDescent="0.25">
      <c r="A189" s="20">
        <f t="shared" si="48"/>
        <v>1.8400000000000014</v>
      </c>
      <c r="C189" s="20">
        <f t="shared" si="38"/>
        <v>40.14765562427781</v>
      </c>
      <c r="D189" s="20">
        <f t="shared" si="41"/>
        <v>0.34622408081537198</v>
      </c>
      <c r="E189" s="20">
        <f t="shared" si="42"/>
        <v>7.5380814460128889</v>
      </c>
      <c r="F189" s="20">
        <f t="shared" si="43"/>
        <v>0.29082822788491247</v>
      </c>
      <c r="G189" s="20">
        <f t="shared" si="44"/>
        <v>6.3319884146508265</v>
      </c>
      <c r="I189" s="20">
        <f t="shared" si="39"/>
        <v>0.67416969073210264</v>
      </c>
      <c r="K189" s="20">
        <f t="shared" si="49"/>
        <v>31.364373944467587</v>
      </c>
      <c r="L189" s="20">
        <f t="shared" si="40"/>
        <v>-0.45202828803879141</v>
      </c>
      <c r="M189" s="20">
        <f t="shared" si="45"/>
        <v>-9.8416783809882737</v>
      </c>
      <c r="N189" s="1">
        <f t="shared" si="50"/>
        <v>84.864536868020394</v>
      </c>
      <c r="P189" s="20">
        <f t="shared" si="51"/>
        <v>25.062128784227578</v>
      </c>
      <c r="Q189" s="20">
        <f t="shared" si="46"/>
        <v>-0.43950085294222596</v>
      </c>
      <c r="R189" s="20">
        <f t="shared" si="47"/>
        <v>-9.5689277801486163</v>
      </c>
      <c r="S189" s="20">
        <f t="shared" si="52"/>
        <v>61.405305676918381</v>
      </c>
      <c r="T189" s="1">
        <f t="shared" si="53"/>
        <v>0</v>
      </c>
    </row>
    <row r="190" spans="1:20" x14ac:dyDescent="0.25">
      <c r="A190" s="20">
        <f t="shared" si="48"/>
        <v>1.8500000000000014</v>
      </c>
      <c r="C190" s="20">
        <f t="shared" ref="C190:C253" si="54">SQRT((K190^2)+(P190^2))</f>
        <v>40.011038211974913</v>
      </c>
      <c r="D190" s="20">
        <f t="shared" si="41"/>
        <v>0.34387177610968706</v>
      </c>
      <c r="E190" s="20">
        <f t="shared" si="42"/>
        <v>7.4868664513321805</v>
      </c>
      <c r="F190" s="20">
        <f t="shared" si="43"/>
        <v>0.28885229193213713</v>
      </c>
      <c r="G190" s="20">
        <f t="shared" si="44"/>
        <v>6.2889678191190317</v>
      </c>
      <c r="I190" s="20">
        <f t="shared" ref="I190:I253" si="55">ATAN(P190/K190)</f>
        <v>0.67383682404911271</v>
      </c>
      <c r="K190" s="20">
        <f t="shared" si="49"/>
        <v>31.265957160657706</v>
      </c>
      <c r="L190" s="20">
        <f t="shared" ref="L190:L253" si="56">-(D190*COS(I190))-(F190*SIN(I190))</f>
        <v>-0.44895344625285949</v>
      </c>
      <c r="M190" s="20">
        <f t="shared" si="45"/>
        <v>-9.7747321195919774</v>
      </c>
      <c r="N190" s="1">
        <f t="shared" si="50"/>
        <v>85.17768852354601</v>
      </c>
      <c r="P190" s="20">
        <f t="shared" si="51"/>
        <v>24.966439506426092</v>
      </c>
      <c r="Q190" s="20">
        <f t="shared" si="46"/>
        <v>-0.43942663875278665</v>
      </c>
      <c r="R190" s="20">
        <f t="shared" si="47"/>
        <v>-9.5673119693617821</v>
      </c>
      <c r="S190" s="20">
        <f t="shared" si="52"/>
        <v>61.655448518371649</v>
      </c>
      <c r="T190" s="1">
        <f t="shared" si="53"/>
        <v>0</v>
      </c>
    </row>
    <row r="191" spans="1:20" x14ac:dyDescent="0.25">
      <c r="A191" s="20">
        <f t="shared" si="48"/>
        <v>1.8600000000000014</v>
      </c>
      <c r="C191" s="20">
        <f t="shared" si="54"/>
        <v>39.874958623930183</v>
      </c>
      <c r="D191" s="20">
        <f t="shared" si="41"/>
        <v>0.34153670271762326</v>
      </c>
      <c r="E191" s="20">
        <f t="shared" si="42"/>
        <v>7.4360266213286144</v>
      </c>
      <c r="F191" s="20">
        <f t="shared" si="43"/>
        <v>0.28689083028280354</v>
      </c>
      <c r="G191" s="20">
        <f t="shared" si="44"/>
        <v>6.2462623619160365</v>
      </c>
      <c r="I191" s="20">
        <f t="shared" si="55"/>
        <v>0.67349152142948254</v>
      </c>
      <c r="K191" s="20">
        <f t="shared" si="49"/>
        <v>31.168209839461785</v>
      </c>
      <c r="L191" s="20">
        <f t="shared" si="56"/>
        <v>-0.4459009626650644</v>
      </c>
      <c r="M191" s="20">
        <f t="shared" si="45"/>
        <v>-9.7082726467464493</v>
      </c>
      <c r="N191" s="1">
        <f t="shared" si="50"/>
        <v>85.48985935854661</v>
      </c>
      <c r="P191" s="20">
        <f t="shared" si="51"/>
        <v>24.870766386732473</v>
      </c>
      <c r="Q191" s="20">
        <f t="shared" si="46"/>
        <v>-0.43934835911145154</v>
      </c>
      <c r="R191" s="20">
        <f t="shared" si="47"/>
        <v>-9.5656076444905622</v>
      </c>
      <c r="S191" s="20">
        <f t="shared" si="52"/>
        <v>61.904634547837439</v>
      </c>
      <c r="T191" s="1">
        <f t="shared" si="53"/>
        <v>0</v>
      </c>
    </row>
    <row r="192" spans="1:20" x14ac:dyDescent="0.25">
      <c r="A192" s="20">
        <f t="shared" si="48"/>
        <v>1.8700000000000014</v>
      </c>
      <c r="C192" s="20">
        <f t="shared" si="54"/>
        <v>39.739414074175372</v>
      </c>
      <c r="D192" s="20">
        <f t="shared" si="41"/>
        <v>0.33921871875284831</v>
      </c>
      <c r="E192" s="20">
        <f t="shared" si="42"/>
        <v>7.3855588668157699</v>
      </c>
      <c r="F192" s="20">
        <f t="shared" si="43"/>
        <v>0.28494372375239257</v>
      </c>
      <c r="G192" s="20">
        <f t="shared" si="44"/>
        <v>6.2038694481252463</v>
      </c>
      <c r="I192" s="20">
        <f t="shared" si="55"/>
        <v>0.67313376288809657</v>
      </c>
      <c r="K192" s="20">
        <f t="shared" si="49"/>
        <v>31.071127112994319</v>
      </c>
      <c r="L192" s="20">
        <f t="shared" si="56"/>
        <v>-0.44287064939649978</v>
      </c>
      <c r="M192" s="20">
        <f t="shared" si="45"/>
        <v>-9.6422958719028919</v>
      </c>
      <c r="N192" s="1">
        <f t="shared" si="50"/>
        <v>85.80105604330889</v>
      </c>
      <c r="P192" s="20">
        <f t="shared" si="51"/>
        <v>24.775110310287566</v>
      </c>
      <c r="Q192" s="20">
        <f t="shared" si="46"/>
        <v>-0.43926610046490921</v>
      </c>
      <c r="R192" s="20">
        <f t="shared" si="47"/>
        <v>-9.5638166876749242</v>
      </c>
      <c r="S192" s="20">
        <f t="shared" si="52"/>
        <v>62.152863931322536</v>
      </c>
      <c r="T192" s="1">
        <f t="shared" si="53"/>
        <v>0</v>
      </c>
    </row>
    <row r="193" spans="1:20" x14ac:dyDescent="0.25">
      <c r="A193" s="20">
        <f t="shared" si="48"/>
        <v>1.8800000000000014</v>
      </c>
      <c r="C193" s="20">
        <f t="shared" si="54"/>
        <v>39.604401809928518</v>
      </c>
      <c r="D193" s="20">
        <f t="shared" si="41"/>
        <v>0.33691768391280319</v>
      </c>
      <c r="E193" s="20">
        <f t="shared" si="42"/>
        <v>7.3354601330895539</v>
      </c>
      <c r="F193" s="20">
        <f t="shared" si="43"/>
        <v>0.28301085448675467</v>
      </c>
      <c r="G193" s="20">
        <f t="shared" si="44"/>
        <v>6.1617865117952251</v>
      </c>
      <c r="I193" s="20">
        <f t="shared" si="55"/>
        <v>0.6727635280526626</v>
      </c>
      <c r="K193" s="20">
        <f t="shared" si="49"/>
        <v>30.97470415427529</v>
      </c>
      <c r="L193" s="20">
        <f t="shared" si="56"/>
        <v>-0.43986232052529795</v>
      </c>
      <c r="M193" s="20">
        <f t="shared" si="45"/>
        <v>-9.5767977471216632</v>
      </c>
      <c r="N193" s="1">
        <f t="shared" si="50"/>
        <v>86.111285199645238</v>
      </c>
      <c r="P193" s="20">
        <f t="shared" si="51"/>
        <v>24.679472143410816</v>
      </c>
      <c r="Q193" s="20">
        <f t="shared" si="46"/>
        <v>-0.43917994787735182</v>
      </c>
      <c r="R193" s="20">
        <f t="shared" si="47"/>
        <v>-9.561940950954753</v>
      </c>
      <c r="S193" s="20">
        <f t="shared" si="52"/>
        <v>62.400136843591028</v>
      </c>
      <c r="T193" s="1">
        <f t="shared" si="53"/>
        <v>0</v>
      </c>
    </row>
    <row r="194" spans="1:20" x14ac:dyDescent="0.25">
      <c r="A194" s="20">
        <f t="shared" si="48"/>
        <v>1.8900000000000015</v>
      </c>
      <c r="C194" s="20">
        <f t="shared" si="54"/>
        <v>39.46991911130911</v>
      </c>
      <c r="D194" s="20">
        <f t="shared" si="41"/>
        <v>0.33463345945789913</v>
      </c>
      <c r="E194" s="20">
        <f t="shared" si="42"/>
        <v>7.2857273994752694</v>
      </c>
      <c r="F194" s="20">
        <f t="shared" si="43"/>
        <v>0.2810921059446353</v>
      </c>
      <c r="G194" s="20">
        <f t="shared" si="44"/>
        <v>6.1200110155592276</v>
      </c>
      <c r="I194" s="20">
        <f t="shared" si="55"/>
        <v>0.67238079616460511</v>
      </c>
      <c r="K194" s="20">
        <f t="shared" si="49"/>
        <v>30.878936176804075</v>
      </c>
      <c r="L194" s="20">
        <f t="shared" si="56"/>
        <v>-0.43687579206332933</v>
      </c>
      <c r="M194" s="20">
        <f t="shared" si="45"/>
        <v>-9.5117742665649754</v>
      </c>
      <c r="N194" s="1">
        <f t="shared" si="50"/>
        <v>86.420553401300637</v>
      </c>
      <c r="P194" s="20">
        <f t="shared" si="51"/>
        <v>24.583852733901267</v>
      </c>
      <c r="Q194" s="20">
        <f t="shared" si="46"/>
        <v>-0.43908998505221075</v>
      </c>
      <c r="R194" s="20">
        <f t="shared" si="47"/>
        <v>-9.5599822567431048</v>
      </c>
      <c r="S194" s="20">
        <f t="shared" si="52"/>
        <v>62.646453467977587</v>
      </c>
      <c r="T194" s="1">
        <f t="shared" si="53"/>
        <v>0</v>
      </c>
    </row>
    <row r="195" spans="1:20" x14ac:dyDescent="0.25">
      <c r="A195" s="20">
        <f t="shared" si="48"/>
        <v>1.9000000000000015</v>
      </c>
      <c r="C195" s="20">
        <f t="shared" si="54"/>
        <v>39.335963291057851</v>
      </c>
      <c r="D195" s="20">
        <f t="shared" si="41"/>
        <v>0.33236590819103601</v>
      </c>
      <c r="E195" s="20">
        <f t="shared" si="42"/>
        <v>7.2363576788816903</v>
      </c>
      <c r="F195" s="20">
        <f t="shared" si="43"/>
        <v>0.27918736288047025</v>
      </c>
      <c r="G195" s="20">
        <f t="shared" si="44"/>
        <v>6.0785404502606193</v>
      </c>
      <c r="I195" s="20">
        <f t="shared" si="55"/>
        <v>0.67198554607997441</v>
      </c>
      <c r="K195" s="20">
        <f t="shared" si="49"/>
        <v>30.783818434138425</v>
      </c>
      <c r="L195" s="20">
        <f t="shared" si="56"/>
        <v>-0.43391088193321969</v>
      </c>
      <c r="M195" s="20">
        <f t="shared" si="45"/>
        <v>-9.4472214659965097</v>
      </c>
      <c r="N195" s="1">
        <f t="shared" si="50"/>
        <v>86.728867174355344</v>
      </c>
      <c r="P195" s="20">
        <f t="shared" si="51"/>
        <v>24.488252911333838</v>
      </c>
      <c r="Q195" s="20">
        <f t="shared" si="46"/>
        <v>-0.43899629435350085</v>
      </c>
      <c r="R195" s="20">
        <f t="shared" si="47"/>
        <v>-9.557942398290896</v>
      </c>
      <c r="S195" s="20">
        <f t="shared" si="52"/>
        <v>62.891813996203759</v>
      </c>
      <c r="T195" s="1">
        <f t="shared" si="53"/>
        <v>0</v>
      </c>
    </row>
    <row r="196" spans="1:20" x14ac:dyDescent="0.25">
      <c r="A196" s="20">
        <f t="shared" si="48"/>
        <v>1.9100000000000015</v>
      </c>
      <c r="C196" s="20">
        <f t="shared" si="54"/>
        <v>39.202531694260891</v>
      </c>
      <c r="D196" s="20">
        <f t="shared" si="41"/>
        <v>0.33011489443743686</v>
      </c>
      <c r="E196" s="20">
        <f t="shared" si="42"/>
        <v>7.1873480173620043</v>
      </c>
      <c r="F196" s="20">
        <f t="shared" si="43"/>
        <v>0.27729651132744693</v>
      </c>
      <c r="G196" s="20">
        <f t="shared" si="44"/>
        <v>6.0373723345840826</v>
      </c>
      <c r="I196" s="20">
        <f t="shared" si="55"/>
        <v>0.67157775627037053</v>
      </c>
      <c r="K196" s="20">
        <f t="shared" si="49"/>
        <v>30.689346219478459</v>
      </c>
      <c r="L196" s="20">
        <f t="shared" si="56"/>
        <v>-0.43096740994567895</v>
      </c>
      <c r="M196" s="20">
        <f t="shared" si="45"/>
        <v>-9.3831354222878058</v>
      </c>
      <c r="N196" s="1">
        <f t="shared" si="50"/>
        <v>87.036232997623415</v>
      </c>
      <c r="P196" s="20">
        <f t="shared" si="51"/>
        <v>24.39267348735093</v>
      </c>
      <c r="Q196" s="20">
        <f t="shared" si="46"/>
        <v>-0.4388989568267801</v>
      </c>
      <c r="R196" s="20">
        <f t="shared" si="47"/>
        <v>-9.5558231401432643</v>
      </c>
      <c r="S196" s="20">
        <f t="shared" si="52"/>
        <v>63.136218628197184</v>
      </c>
      <c r="T196" s="1">
        <f t="shared" si="53"/>
        <v>0</v>
      </c>
    </row>
    <row r="197" spans="1:20" x14ac:dyDescent="0.25">
      <c r="A197" s="20">
        <f t="shared" si="48"/>
        <v>1.9200000000000015</v>
      </c>
      <c r="C197" s="20">
        <f t="shared" si="54"/>
        <v>39.069621698078535</v>
      </c>
      <c r="D197" s="20">
        <f t="shared" ref="D197:D260" si="57">0.5*$W$5*$W$10*$W$9*C197^2</f>
        <v>0.32788028402479236</v>
      </c>
      <c r="E197" s="20">
        <f t="shared" ref="E197:E260" si="58">D197/$W$4</f>
        <v>7.1386954936815235</v>
      </c>
      <c r="F197" s="20">
        <f t="shared" ref="F197:F260" si="59">0.5*$W$6*$W$10*$W$9*C197^2</f>
        <v>0.27541943858082563</v>
      </c>
      <c r="G197" s="20">
        <f t="shared" ref="G197:G260" si="60">F197/$W$4</f>
        <v>5.9965042146924805</v>
      </c>
      <c r="I197" s="20">
        <f t="shared" si="55"/>
        <v>0.67115740482388531</v>
      </c>
      <c r="K197" s="20">
        <f t="shared" si="49"/>
        <v>30.595514865255581</v>
      </c>
      <c r="L197" s="20">
        <f t="shared" si="56"/>
        <v>-0.42804519777713779</v>
      </c>
      <c r="M197" s="20">
        <f t="shared" ref="M197:M260" si="61">L197/$W$4</f>
        <v>-9.3195122529313696</v>
      </c>
      <c r="N197" s="1">
        <f t="shared" si="50"/>
        <v>87.342657303047076</v>
      </c>
      <c r="P197" s="20">
        <f t="shared" si="51"/>
        <v>24.297115255949496</v>
      </c>
      <c r="Q197" s="20">
        <f t="shared" ref="Q197:Q260" si="62">-(D197*SIN(I197))+(F197*COS(I197))-($W$4*9.81)</f>
        <v>-0.43879805221973328</v>
      </c>
      <c r="R197" s="20">
        <f t="shared" ref="R197:R260" si="63">Q197/$W$4</f>
        <v>-9.5536262185877057</v>
      </c>
      <c r="S197" s="20">
        <f t="shared" si="52"/>
        <v>63.379667571913686</v>
      </c>
      <c r="T197" s="1">
        <f t="shared" si="53"/>
        <v>0</v>
      </c>
    </row>
    <row r="198" spans="1:20" x14ac:dyDescent="0.25">
      <c r="A198" s="20">
        <f t="shared" ref="A198:A261" si="64">A197+$W$18</f>
        <v>1.9300000000000015</v>
      </c>
      <c r="C198" s="20">
        <f t="shared" si="54"/>
        <v>38.9372307114783</v>
      </c>
      <c r="D198" s="20">
        <f t="shared" si="57"/>
        <v>0.3256619442637112</v>
      </c>
      <c r="E198" s="20">
        <f t="shared" si="58"/>
        <v>7.0903972188920363</v>
      </c>
      <c r="F198" s="20">
        <f t="shared" si="59"/>
        <v>0.27355603318151739</v>
      </c>
      <c r="G198" s="20">
        <f t="shared" si="60"/>
        <v>5.9559336638693097</v>
      </c>
      <c r="I198" s="20">
        <f t="shared" si="55"/>
        <v>0.67072446944606245</v>
      </c>
      <c r="K198" s="20">
        <f t="shared" ref="K198:K261" si="65">K197+(M197*$W$18)</f>
        <v>30.502319742726268</v>
      </c>
      <c r="L198" s="20">
        <f t="shared" si="56"/>
        <v>-0.42514406894768719</v>
      </c>
      <c r="M198" s="20">
        <f t="shared" si="61"/>
        <v>-9.2563481155603569</v>
      </c>
      <c r="N198" s="1">
        <f t="shared" ref="N198:N261" si="66">N197+(K197*$W$18)+(0.5*M197*$W$18^2)</f>
        <v>87.648146476086993</v>
      </c>
      <c r="P198" s="20">
        <f t="shared" ref="P198:P261" si="67">P197+(R197*$W$18)</f>
        <v>24.201578993763619</v>
      </c>
      <c r="Q198" s="20">
        <f t="shared" si="62"/>
        <v>-0.4386936590023861</v>
      </c>
      <c r="R198" s="20">
        <f t="shared" si="63"/>
        <v>-9.5513533420941901</v>
      </c>
      <c r="S198" s="20">
        <f t="shared" ref="S198:S261" si="68">S197+(P197*$W$18)+(0.5*R197*$W$18^2)</f>
        <v>63.622161043162258</v>
      </c>
      <c r="T198" s="1">
        <f t="shared" si="53"/>
        <v>0</v>
      </c>
    </row>
    <row r="199" spans="1:20" x14ac:dyDescent="0.25">
      <c r="A199" s="20">
        <f t="shared" si="64"/>
        <v>1.9400000000000015</v>
      </c>
      <c r="C199" s="20">
        <f t="shared" si="54"/>
        <v>38.805356174972317</v>
      </c>
      <c r="D199" s="20">
        <f t="shared" si="57"/>
        <v>0.3234597439284691</v>
      </c>
      <c r="E199" s="20">
        <f t="shared" si="58"/>
        <v>7.0424503359126742</v>
      </c>
      <c r="F199" s="20">
        <f t="shared" si="59"/>
        <v>0.27170618489991405</v>
      </c>
      <c r="G199" s="20">
        <f t="shared" si="60"/>
        <v>5.9156582821666461</v>
      </c>
      <c r="I199" s="20">
        <f t="shared" si="55"/>
        <v>0.67027892746087647</v>
      </c>
      <c r="K199" s="20">
        <f t="shared" si="65"/>
        <v>30.409756261570664</v>
      </c>
      <c r="L199" s="20">
        <f t="shared" si="56"/>
        <v>-0.42226384879931578</v>
      </c>
      <c r="M199" s="20">
        <f t="shared" si="61"/>
        <v>-9.1936392074747619</v>
      </c>
      <c r="N199" s="1">
        <f t="shared" si="66"/>
        <v>87.952706856108477</v>
      </c>
      <c r="P199" s="20">
        <f t="shared" si="67"/>
        <v>24.106065460342677</v>
      </c>
      <c r="Q199" s="20">
        <f t="shared" si="62"/>
        <v>-0.43858585438695608</v>
      </c>
      <c r="R199" s="20">
        <f t="shared" si="63"/>
        <v>-9.5490061917473561</v>
      </c>
      <c r="S199" s="20">
        <f t="shared" si="68"/>
        <v>63.863699265432793</v>
      </c>
      <c r="T199" s="1">
        <f t="shared" ref="T199:T262" si="69">IF(AND(S198&gt;0,S199&lt;0),(-1*S198*(N199-N198)/(S199-S198)+N198),0)</f>
        <v>0</v>
      </c>
    </row>
    <row r="200" spans="1:20" x14ac:dyDescent="0.25">
      <c r="A200" s="20">
        <f t="shared" si="64"/>
        <v>1.9500000000000015</v>
      </c>
      <c r="C200" s="20">
        <f t="shared" si="54"/>
        <v>38.673995560358939</v>
      </c>
      <c r="D200" s="20">
        <f t="shared" si="57"/>
        <v>0.32127355323805279</v>
      </c>
      <c r="E200" s="20">
        <f t="shared" si="58"/>
        <v>6.9948520191171957</v>
      </c>
      <c r="F200" s="20">
        <f t="shared" si="59"/>
        <v>0.26986978471996437</v>
      </c>
      <c r="G200" s="20">
        <f t="shared" si="60"/>
        <v>5.8756756960584449</v>
      </c>
      <c r="I200" s="20">
        <f t="shared" si="55"/>
        <v>0.66982075581173239</v>
      </c>
      <c r="K200" s="20">
        <f t="shared" si="65"/>
        <v>30.317819869495917</v>
      </c>
      <c r="L200" s="20">
        <f t="shared" si="56"/>
        <v>-0.41940436447444046</v>
      </c>
      <c r="M200" s="20">
        <f t="shared" si="61"/>
        <v>-9.1313817651739715</v>
      </c>
      <c r="N200" s="1">
        <f t="shared" si="66"/>
        <v>88.256344736763808</v>
      </c>
      <c r="P200" s="20">
        <f t="shared" si="67"/>
        <v>24.010575398425203</v>
      </c>
      <c r="Q200" s="20">
        <f t="shared" si="62"/>
        <v>-0.43847471434734814</v>
      </c>
      <c r="R200" s="20">
        <f t="shared" si="63"/>
        <v>-9.5465864216709804</v>
      </c>
      <c r="S200" s="20">
        <f t="shared" si="68"/>
        <v>64.104282469726627</v>
      </c>
      <c r="T200" s="1">
        <f t="shared" si="69"/>
        <v>0</v>
      </c>
    </row>
    <row r="201" spans="1:20" x14ac:dyDescent="0.25">
      <c r="A201" s="20">
        <f t="shared" si="64"/>
        <v>1.9600000000000015</v>
      </c>
      <c r="C201" s="20">
        <f t="shared" si="54"/>
        <v>38.543146370468541</v>
      </c>
      <c r="D201" s="20">
        <f t="shared" si="57"/>
        <v>0.31910324383749267</v>
      </c>
      <c r="E201" s="20">
        <f t="shared" si="58"/>
        <v>6.9475994739275571</v>
      </c>
      <c r="F201" s="20">
        <f t="shared" si="59"/>
        <v>0.26804672482349384</v>
      </c>
      <c r="G201" s="20">
        <f t="shared" si="60"/>
        <v>5.8359835580991479</v>
      </c>
      <c r="I201" s="20">
        <f t="shared" si="55"/>
        <v>0.66934993106248775</v>
      </c>
      <c r="K201" s="20">
        <f t="shared" si="65"/>
        <v>30.226506051844176</v>
      </c>
      <c r="L201" s="20">
        <f t="shared" si="56"/>
        <v>-0.41656544489472613</v>
      </c>
      <c r="M201" s="20">
        <f t="shared" si="61"/>
        <v>-9.0695720638956274</v>
      </c>
      <c r="N201" s="1">
        <f t="shared" si="66"/>
        <v>88.559066366370516</v>
      </c>
      <c r="P201" s="20">
        <f t="shared" si="67"/>
        <v>23.915109534208494</v>
      </c>
      <c r="Q201" s="20">
        <f t="shared" si="62"/>
        <v>-0.43836031363830186</v>
      </c>
      <c r="R201" s="20">
        <f t="shared" si="63"/>
        <v>-9.5440956594448476</v>
      </c>
      <c r="S201" s="20">
        <f t="shared" si="68"/>
        <v>64.343910894389793</v>
      </c>
      <c r="T201" s="1">
        <f t="shared" si="69"/>
        <v>0</v>
      </c>
    </row>
    <row r="202" spans="1:20" x14ac:dyDescent="0.25">
      <c r="A202" s="20">
        <f t="shared" si="64"/>
        <v>1.9700000000000015</v>
      </c>
      <c r="C202" s="20">
        <f t="shared" si="54"/>
        <v>38.412806138913481</v>
      </c>
      <c r="D202" s="20">
        <f t="shared" si="57"/>
        <v>0.31694868877948001</v>
      </c>
      <c r="E202" s="20">
        <f t="shared" si="58"/>
        <v>6.9006899364136736</v>
      </c>
      <c r="F202" s="20">
        <f t="shared" si="59"/>
        <v>0.26623689857476324</v>
      </c>
      <c r="G202" s="20">
        <f t="shared" si="60"/>
        <v>5.7965795465874859</v>
      </c>
      <c r="I202" s="20">
        <f t="shared" si="55"/>
        <v>0.66886642939849639</v>
      </c>
      <c r="K202" s="20">
        <f t="shared" si="65"/>
        <v>30.135810331205221</v>
      </c>
      <c r="L202" s="20">
        <f t="shared" si="56"/>
        <v>-0.41374692074018971</v>
      </c>
      <c r="M202" s="20">
        <f t="shared" si="61"/>
        <v>-9.0082064171606735</v>
      </c>
      <c r="N202" s="1">
        <f t="shared" si="66"/>
        <v>88.860877948285761</v>
      </c>
      <c r="P202" s="20">
        <f t="shared" si="67"/>
        <v>23.819668577614046</v>
      </c>
      <c r="Q202" s="20">
        <f t="shared" si="62"/>
        <v>-0.43824272581419466</v>
      </c>
      <c r="R202" s="20">
        <f t="shared" si="63"/>
        <v>-9.5415355065141441</v>
      </c>
      <c r="S202" s="20">
        <f t="shared" si="68"/>
        <v>64.582584784948907</v>
      </c>
      <c r="T202" s="1">
        <f t="shared" si="69"/>
        <v>0</v>
      </c>
    </row>
    <row r="203" spans="1:20" x14ac:dyDescent="0.25">
      <c r="A203" s="20">
        <f t="shared" si="64"/>
        <v>1.9800000000000015</v>
      </c>
      <c r="C203" s="20">
        <f t="shared" si="54"/>
        <v>38.282972429842026</v>
      </c>
      <c r="D203" s="20">
        <f t="shared" si="57"/>
        <v>0.31480976250626286</v>
      </c>
      <c r="E203" s="20">
        <f t="shared" si="58"/>
        <v>6.8541206728992572</v>
      </c>
      <c r="F203" s="20">
        <f t="shared" si="59"/>
        <v>0.26444020050526079</v>
      </c>
      <c r="G203" s="20">
        <f t="shared" si="60"/>
        <v>5.7574613652353754</v>
      </c>
      <c r="I203" s="20">
        <f t="shared" si="55"/>
        <v>0.6683702266276772</v>
      </c>
      <c r="K203" s="20">
        <f t="shared" si="65"/>
        <v>30.045728267033613</v>
      </c>
      <c r="L203" s="20">
        <f t="shared" si="56"/>
        <v>-0.4109486244285836</v>
      </c>
      <c r="M203" s="20">
        <f t="shared" si="61"/>
        <v>-8.9472811763244859</v>
      </c>
      <c r="N203" s="1">
        <f t="shared" si="66"/>
        <v>89.161785641276964</v>
      </c>
      <c r="P203" s="20">
        <f t="shared" si="67"/>
        <v>23.724253222548903</v>
      </c>
      <c r="Q203" s="20">
        <f t="shared" si="62"/>
        <v>-0.43812202324751048</v>
      </c>
      <c r="R203" s="20">
        <f t="shared" si="63"/>
        <v>-9.5389075385915625</v>
      </c>
      <c r="S203" s="20">
        <f t="shared" si="68"/>
        <v>64.820304393949726</v>
      </c>
      <c r="T203" s="1">
        <f t="shared" si="69"/>
        <v>0</v>
      </c>
    </row>
    <row r="204" spans="1:20" x14ac:dyDescent="0.25">
      <c r="A204" s="20">
        <f t="shared" si="64"/>
        <v>1.9900000000000015</v>
      </c>
      <c r="C204" s="20">
        <f t="shared" si="54"/>
        <v>38.153642837696381</v>
      </c>
      <c r="D204" s="20">
        <f t="shared" si="57"/>
        <v>0.31268634083181679</v>
      </c>
      <c r="E204" s="20">
        <f t="shared" si="58"/>
        <v>6.8078889795736295</v>
      </c>
      <c r="F204" s="20">
        <f t="shared" si="59"/>
        <v>0.2626565262987261</v>
      </c>
      <c r="G204" s="20">
        <f t="shared" si="60"/>
        <v>5.7186267428418489</v>
      </c>
      <c r="I204" s="20">
        <f t="shared" si="55"/>
        <v>0.66786129818160755</v>
      </c>
      <c r="K204" s="20">
        <f t="shared" si="65"/>
        <v>29.956255455270369</v>
      </c>
      <c r="L204" s="20">
        <f t="shared" si="56"/>
        <v>-0.40817039009505629</v>
      </c>
      <c r="M204" s="20">
        <f t="shared" si="61"/>
        <v>-8.8867927301340366</v>
      </c>
      <c r="N204" s="1">
        <f t="shared" si="66"/>
        <v>89.461795559888486</v>
      </c>
      <c r="P204" s="20">
        <f t="shared" si="67"/>
        <v>23.628864147162986</v>
      </c>
      <c r="Q204" s="20">
        <f t="shared" si="62"/>
        <v>-0.43799827714697781</v>
      </c>
      <c r="R204" s="20">
        <f t="shared" si="63"/>
        <v>-9.5362133060522059</v>
      </c>
      <c r="S204" s="20">
        <f t="shared" si="68"/>
        <v>65.057069980798289</v>
      </c>
      <c r="T204" s="1">
        <f t="shared" si="69"/>
        <v>0</v>
      </c>
    </row>
    <row r="205" spans="1:20" x14ac:dyDescent="0.25">
      <c r="A205" s="20">
        <f t="shared" si="64"/>
        <v>2.0000000000000013</v>
      </c>
      <c r="C205" s="20">
        <f t="shared" si="54"/>
        <v>38.024814986974555</v>
      </c>
      <c r="D205" s="20">
        <f t="shared" si="57"/>
        <v>0.31057830092428401</v>
      </c>
      <c r="E205" s="20">
        <f t="shared" si="58"/>
        <v>6.7619921821093847</v>
      </c>
      <c r="F205" s="20">
        <f t="shared" si="59"/>
        <v>0.26088577277639857</v>
      </c>
      <c r="G205" s="20">
        <f t="shared" si="60"/>
        <v>5.6800734329718825</v>
      </c>
      <c r="I205" s="20">
        <f t="shared" si="55"/>
        <v>0.6673396191166443</v>
      </c>
      <c r="K205" s="20">
        <f t="shared" si="65"/>
        <v>29.867387527969029</v>
      </c>
      <c r="L205" s="20">
        <f t="shared" si="56"/>
        <v>-0.40541205357208177</v>
      </c>
      <c r="M205" s="20">
        <f t="shared" si="61"/>
        <v>-8.8267375042909162</v>
      </c>
      <c r="N205" s="1">
        <f t="shared" si="66"/>
        <v>89.760913774804692</v>
      </c>
      <c r="P205" s="20">
        <f t="shared" si="67"/>
        <v>23.533502014102464</v>
      </c>
      <c r="Q205" s="20">
        <f t="shared" si="62"/>
        <v>-0.43787155757538454</v>
      </c>
      <c r="R205" s="20">
        <f t="shared" si="63"/>
        <v>-9.5334543343214584</v>
      </c>
      <c r="S205" s="20">
        <f t="shared" si="68"/>
        <v>65.292881811604616</v>
      </c>
      <c r="T205" s="1">
        <f t="shared" si="69"/>
        <v>0</v>
      </c>
    </row>
    <row r="206" spans="1:20" x14ac:dyDescent="0.25">
      <c r="A206" s="20">
        <f t="shared" si="64"/>
        <v>2.0100000000000011</v>
      </c>
      <c r="C206" s="20">
        <f t="shared" si="54"/>
        <v>37.896486531996175</v>
      </c>
      <c r="D206" s="20">
        <f t="shared" si="57"/>
        <v>0.3084855212886789</v>
      </c>
      <c r="E206" s="20">
        <f t="shared" si="58"/>
        <v>6.7164276352858456</v>
      </c>
      <c r="F206" s="20">
        <f t="shared" si="59"/>
        <v>0.25912783788249028</v>
      </c>
      <c r="G206" s="20">
        <f t="shared" si="60"/>
        <v>5.6417992136401107</v>
      </c>
      <c r="I206" s="20">
        <f t="shared" si="55"/>
        <v>0.66680516411507107</v>
      </c>
      <c r="K206" s="20">
        <f t="shared" si="65"/>
        <v>29.779120152926119</v>
      </c>
      <c r="L206" s="20">
        <f t="shared" si="56"/>
        <v>-0.40267345236965879</v>
      </c>
      <c r="M206" s="20">
        <f t="shared" si="61"/>
        <v>-8.7671119610202215</v>
      </c>
      <c r="N206" s="1">
        <f t="shared" si="66"/>
        <v>90.059146313209169</v>
      </c>
      <c r="P206" s="20">
        <f t="shared" si="67"/>
        <v>23.43816747075925</v>
      </c>
      <c r="Q206" s="20">
        <f t="shared" si="62"/>
        <v>-0.43774193346707457</v>
      </c>
      <c r="R206" s="20">
        <f t="shared" si="63"/>
        <v>-9.5306321242559235</v>
      </c>
      <c r="S206" s="20">
        <f t="shared" si="68"/>
        <v>65.527740159028923</v>
      </c>
      <c r="T206" s="1">
        <f t="shared" si="69"/>
        <v>0</v>
      </c>
    </row>
    <row r="207" spans="1:20" x14ac:dyDescent="0.25">
      <c r="A207" s="20">
        <f t="shared" si="64"/>
        <v>2.0200000000000009</v>
      </c>
      <c r="C207" s="20">
        <f t="shared" si="54"/>
        <v>37.768655156672075</v>
      </c>
      <c r="D207" s="20">
        <f t="shared" si="57"/>
        <v>0.30640788174985251</v>
      </c>
      <c r="E207" s="20">
        <f t="shared" si="58"/>
        <v>6.6711927226181693</v>
      </c>
      <c r="F207" s="20">
        <f t="shared" si="59"/>
        <v>0.25738262066987611</v>
      </c>
      <c r="G207" s="20">
        <f t="shared" si="60"/>
        <v>5.6038018869992623</v>
      </c>
      <c r="I207" s="20">
        <f t="shared" si="55"/>
        <v>0.666257907486276</v>
      </c>
      <c r="K207" s="20">
        <f t="shared" si="65"/>
        <v>29.691449033315916</v>
      </c>
      <c r="L207" s="20">
        <f t="shared" si="56"/>
        <v>-0.39995442565577166</v>
      </c>
      <c r="M207" s="20">
        <f t="shared" si="61"/>
        <v>-8.707912598645148</v>
      </c>
      <c r="N207" s="1">
        <f t="shared" si="66"/>
        <v>90.356499159140384</v>
      </c>
      <c r="P207" s="20">
        <f t="shared" si="67"/>
        <v>23.34286114951669</v>
      </c>
      <c r="Q207" s="20">
        <f t="shared" si="62"/>
        <v>-0.43760947264513383</v>
      </c>
      <c r="R207" s="20">
        <f t="shared" si="63"/>
        <v>-9.52774815251761</v>
      </c>
      <c r="S207" s="20">
        <f t="shared" si="68"/>
        <v>65.761645302130304</v>
      </c>
      <c r="T207" s="1">
        <f t="shared" si="69"/>
        <v>0</v>
      </c>
    </row>
    <row r="208" spans="1:20" x14ac:dyDescent="0.25">
      <c r="A208" s="20">
        <f t="shared" si="64"/>
        <v>2.0300000000000007</v>
      </c>
      <c r="C208" s="20">
        <f t="shared" si="54"/>
        <v>37.641318574277655</v>
      </c>
      <c r="D208" s="20">
        <f t="shared" si="57"/>
        <v>0.30434526343571278</v>
      </c>
      <c r="E208" s="20">
        <f t="shared" si="58"/>
        <v>6.6262848559920053</v>
      </c>
      <c r="F208" s="20">
        <f t="shared" si="59"/>
        <v>0.25565002128599873</v>
      </c>
      <c r="G208" s="20">
        <f t="shared" si="60"/>
        <v>5.5660792790332838</v>
      </c>
      <c r="I208" s="20">
        <f t="shared" si="55"/>
        <v>0.66569782316795956</v>
      </c>
      <c r="K208" s="20">
        <f t="shared" si="65"/>
        <v>29.604369907329463</v>
      </c>
      <c r="L208" s="20">
        <f t="shared" si="56"/>
        <v>-0.39725481423710979</v>
      </c>
      <c r="M208" s="20">
        <f t="shared" si="61"/>
        <v>-8.6491359511672066</v>
      </c>
      <c r="N208" s="1">
        <f t="shared" si="66"/>
        <v>90.652978253843614</v>
      </c>
      <c r="P208" s="20">
        <f t="shared" si="67"/>
        <v>23.247583667991513</v>
      </c>
      <c r="Q208" s="20">
        <f t="shared" si="62"/>
        <v>-0.437474241838269</v>
      </c>
      <c r="R208" s="20">
        <f t="shared" si="63"/>
        <v>-9.5248038719414119</v>
      </c>
      <c r="S208" s="20">
        <f t="shared" si="68"/>
        <v>65.994597526217845</v>
      </c>
      <c r="T208" s="1">
        <f t="shared" si="69"/>
        <v>0</v>
      </c>
    </row>
    <row r="209" spans="1:20" x14ac:dyDescent="0.25">
      <c r="A209" s="20">
        <f t="shared" si="64"/>
        <v>2.0400000000000005</v>
      </c>
      <c r="C209" s="20">
        <f t="shared" si="54"/>
        <v>37.514474527229943</v>
      </c>
      <c r="D209" s="20">
        <f t="shared" si="57"/>
        <v>0.30229754876069703</v>
      </c>
      <c r="E209" s="20">
        <f t="shared" si="58"/>
        <v>6.5817014753036585</v>
      </c>
      <c r="F209" s="20">
        <f t="shared" si="59"/>
        <v>0.25392994095898552</v>
      </c>
      <c r="G209" s="20">
        <f t="shared" si="60"/>
        <v>5.528629239255074</v>
      </c>
      <c r="I209" s="20">
        <f t="shared" si="55"/>
        <v>0.66512488472737408</v>
      </c>
      <c r="K209" s="20">
        <f t="shared" si="65"/>
        <v>29.517878547817791</v>
      </c>
      <c r="L209" s="20">
        <f t="shared" si="56"/>
        <v>-0.39457446054004364</v>
      </c>
      <c r="M209" s="20">
        <f t="shared" si="61"/>
        <v>-8.5907785878520286</v>
      </c>
      <c r="N209" s="1">
        <f t="shared" si="66"/>
        <v>90.948589496119354</v>
      </c>
      <c r="P209" s="20">
        <f t="shared" si="67"/>
        <v>23.152335629272098</v>
      </c>
      <c r="Q209" s="20">
        <f t="shared" si="62"/>
        <v>-0.43733630669738749</v>
      </c>
      <c r="R209" s="20">
        <f t="shared" si="63"/>
        <v>-9.5218007118960912</v>
      </c>
      <c r="S209" s="20">
        <f t="shared" si="68"/>
        <v>66.226597122704163</v>
      </c>
      <c r="T209" s="1">
        <f t="shared" si="69"/>
        <v>0</v>
      </c>
    </row>
    <row r="210" spans="1:20" x14ac:dyDescent="0.25">
      <c r="A210" s="20">
        <f t="shared" si="64"/>
        <v>2.0500000000000003</v>
      </c>
      <c r="C210" s="20">
        <f t="shared" si="54"/>
        <v>37.388120786868292</v>
      </c>
      <c r="D210" s="20">
        <f t="shared" si="57"/>
        <v>0.30026462140949045</v>
      </c>
      <c r="E210" s="20">
        <f t="shared" si="58"/>
        <v>6.5374400481056059</v>
      </c>
      <c r="F210" s="20">
        <f t="shared" si="59"/>
        <v>0.25222228198397195</v>
      </c>
      <c r="G210" s="20">
        <f t="shared" si="60"/>
        <v>5.4914496404087076</v>
      </c>
      <c r="I210" s="20">
        <f t="shared" si="55"/>
        <v>0.66453906536259633</v>
      </c>
      <c r="K210" s="20">
        <f t="shared" si="65"/>
        <v>29.431970761939269</v>
      </c>
      <c r="L210" s="20">
        <f t="shared" si="56"/>
        <v>-0.39191320859185025</v>
      </c>
      <c r="M210" s="20">
        <f t="shared" si="61"/>
        <v>-8.5328371128206015</v>
      </c>
      <c r="N210" s="1">
        <f t="shared" si="66"/>
        <v>91.243338742668129</v>
      </c>
      <c r="P210" s="20">
        <f t="shared" si="67"/>
        <v>23.057117622153136</v>
      </c>
      <c r="Q210" s="20">
        <f t="shared" si="62"/>
        <v>-0.43719573181188093</v>
      </c>
      <c r="R210" s="20">
        <f t="shared" si="63"/>
        <v>-9.5187400786388192</v>
      </c>
      <c r="S210" s="20">
        <f t="shared" si="68"/>
        <v>66.457644388961299</v>
      </c>
      <c r="T210" s="1">
        <f t="shared" si="69"/>
        <v>0</v>
      </c>
    </row>
    <row r="211" spans="1:20" x14ac:dyDescent="0.25">
      <c r="A211" s="20">
        <f t="shared" si="64"/>
        <v>2.06</v>
      </c>
      <c r="C211" s="20">
        <f t="shared" si="54"/>
        <v>37.262255153238705</v>
      </c>
      <c r="D211" s="20">
        <f t="shared" si="57"/>
        <v>0.29824636632098772</v>
      </c>
      <c r="E211" s="20">
        <f t="shared" si="58"/>
        <v>6.4934980692572983</v>
      </c>
      <c r="F211" s="20">
        <f t="shared" si="59"/>
        <v>0.25052694770962969</v>
      </c>
      <c r="G211" s="20">
        <f t="shared" si="60"/>
        <v>5.4545383781761307</v>
      </c>
      <c r="I211" s="20">
        <f t="shared" si="55"/>
        <v>0.66394033790383467</v>
      </c>
      <c r="K211" s="20">
        <f t="shared" si="65"/>
        <v>29.346642390811063</v>
      </c>
      <c r="L211" s="20">
        <f t="shared" si="56"/>
        <v>-0.38927090400218689</v>
      </c>
      <c r="M211" s="20">
        <f t="shared" si="61"/>
        <v>-8.4753081646459147</v>
      </c>
      <c r="N211" s="1">
        <f t="shared" si="66"/>
        <v>91.537231808431883</v>
      </c>
      <c r="P211" s="20">
        <f t="shared" si="67"/>
        <v>22.96193022136675</v>
      </c>
      <c r="Q211" s="20">
        <f t="shared" si="62"/>
        <v>-0.43705258072562114</v>
      </c>
      <c r="R211" s="20">
        <f t="shared" si="63"/>
        <v>-9.5156233556634255</v>
      </c>
      <c r="S211" s="20">
        <f t="shared" si="68"/>
        <v>66.687739628178903</v>
      </c>
      <c r="T211" s="1">
        <f t="shared" si="69"/>
        <v>0</v>
      </c>
    </row>
    <row r="212" spans="1:20" x14ac:dyDescent="0.25">
      <c r="A212" s="20">
        <f t="shared" si="64"/>
        <v>2.0699999999999998</v>
      </c>
      <c r="C212" s="20">
        <f t="shared" si="54"/>
        <v>37.136875454881654</v>
      </c>
      <c r="D212" s="20">
        <f t="shared" si="57"/>
        <v>0.29624266967249363</v>
      </c>
      <c r="E212" s="20">
        <f t="shared" si="58"/>
        <v>6.4498730605811812</v>
      </c>
      <c r="F212" s="20">
        <f t="shared" si="59"/>
        <v>0.24884384252489467</v>
      </c>
      <c r="G212" s="20">
        <f t="shared" si="60"/>
        <v>5.4178933708881925</v>
      </c>
      <c r="I212" s="20">
        <f t="shared" si="55"/>
        <v>0.6633286748147722</v>
      </c>
      <c r="K212" s="20">
        <f t="shared" si="65"/>
        <v>29.261889309164605</v>
      </c>
      <c r="L212" s="20">
        <f t="shared" si="56"/>
        <v>-0.38664739394480818</v>
      </c>
      <c r="M212" s="20">
        <f t="shared" si="61"/>
        <v>-8.4181884159548925</v>
      </c>
      <c r="N212" s="1">
        <f t="shared" si="66"/>
        <v>91.830274466931769</v>
      </c>
      <c r="P212" s="20">
        <f t="shared" si="67"/>
        <v>22.866773987810117</v>
      </c>
      <c r="Q212" s="20">
        <f t="shared" si="62"/>
        <v>-0.43690691595267062</v>
      </c>
      <c r="R212" s="20">
        <f t="shared" si="63"/>
        <v>-9.5124519040424698</v>
      </c>
      <c r="S212" s="20">
        <f t="shared" si="68"/>
        <v>66.916883149224788</v>
      </c>
      <c r="T212" s="1">
        <f t="shared" si="69"/>
        <v>0</v>
      </c>
    </row>
    <row r="213" spans="1:20" x14ac:dyDescent="0.25">
      <c r="A213" s="20">
        <f t="shared" si="64"/>
        <v>2.0799999999999996</v>
      </c>
      <c r="C213" s="20">
        <f t="shared" si="54"/>
        <v>37.011979548623366</v>
      </c>
      <c r="D213" s="20">
        <f t="shared" si="57"/>
        <v>0.29425341886415685</v>
      </c>
      <c r="E213" s="20">
        <f t="shared" si="58"/>
        <v>6.4065625705237723</v>
      </c>
      <c r="F213" s="20">
        <f t="shared" si="59"/>
        <v>0.24717287184589176</v>
      </c>
      <c r="G213" s="20">
        <f t="shared" si="60"/>
        <v>5.3815125592399689</v>
      </c>
      <c r="I213" s="20">
        <f t="shared" si="55"/>
        <v>0.66270404819394768</v>
      </c>
      <c r="K213" s="20">
        <f t="shared" si="65"/>
        <v>29.177707425005057</v>
      </c>
      <c r="L213" s="20">
        <f t="shared" si="56"/>
        <v>-0.38404252713952175</v>
      </c>
      <c r="M213" s="20">
        <f t="shared" si="61"/>
        <v>-8.3614745730355278</v>
      </c>
      <c r="N213" s="1">
        <f t="shared" si="66"/>
        <v>92.122472450602615</v>
      </c>
      <c r="P213" s="20">
        <f t="shared" si="67"/>
        <v>22.771649468769692</v>
      </c>
      <c r="Q213" s="20">
        <f t="shared" si="62"/>
        <v>-0.43675879899271541</v>
      </c>
      <c r="R213" s="20">
        <f t="shared" si="63"/>
        <v>-9.5092270627632356</v>
      </c>
      <c r="S213" s="20">
        <f t="shared" si="68"/>
        <v>67.145075266507689</v>
      </c>
      <c r="T213" s="1">
        <f t="shared" si="69"/>
        <v>0</v>
      </c>
    </row>
    <row r="214" spans="1:20" x14ac:dyDescent="0.25">
      <c r="A214" s="20">
        <f t="shared" si="64"/>
        <v>2.0899999999999994</v>
      </c>
      <c r="C214" s="20">
        <f t="shared" si="54"/>
        <v>36.887565319370623</v>
      </c>
      <c r="D214" s="20">
        <f t="shared" si="57"/>
        <v>0.29227850250363591</v>
      </c>
      <c r="E214" s="20">
        <f t="shared" si="58"/>
        <v>6.3635641738218141</v>
      </c>
      <c r="F214" s="20">
        <f t="shared" si="59"/>
        <v>0.24551394210305416</v>
      </c>
      <c r="G214" s="20">
        <f t="shared" si="60"/>
        <v>5.3453939060103242</v>
      </c>
      <c r="I214" s="20">
        <f t="shared" si="55"/>
        <v>0.66206642977617403</v>
      </c>
      <c r="K214" s="20">
        <f t="shared" si="65"/>
        <v>29.094092679274702</v>
      </c>
      <c r="L214" s="20">
        <f t="shared" si="56"/>
        <v>-0.38145615383438197</v>
      </c>
      <c r="M214" s="20">
        <f t="shared" si="61"/>
        <v>-8.3051633754492045</v>
      </c>
      <c r="N214" s="1">
        <f t="shared" si="66"/>
        <v>92.413831451124011</v>
      </c>
      <c r="P214" s="20">
        <f t="shared" si="67"/>
        <v>22.67655719814206</v>
      </c>
      <c r="Q214" s="20">
        <f t="shared" si="62"/>
        <v>-0.43660829034622317</v>
      </c>
      <c r="R214" s="20">
        <f t="shared" si="63"/>
        <v>-9.5059501490577656</v>
      </c>
      <c r="S214" s="20">
        <f t="shared" si="68"/>
        <v>67.372316299842254</v>
      </c>
      <c r="T214" s="1">
        <f t="shared" si="69"/>
        <v>0</v>
      </c>
    </row>
    <row r="215" spans="1:20" x14ac:dyDescent="0.25">
      <c r="A215" s="20">
        <f t="shared" si="64"/>
        <v>2.0999999999999992</v>
      </c>
      <c r="C215" s="20">
        <f t="shared" si="54"/>
        <v>36.763630679908836</v>
      </c>
      <c r="D215" s="20">
        <f t="shared" si="57"/>
        <v>0.29031781039099031</v>
      </c>
      <c r="E215" s="20">
        <f t="shared" si="58"/>
        <v>6.3208754711733137</v>
      </c>
      <c r="F215" s="20">
        <f t="shared" si="59"/>
        <v>0.24386696072843189</v>
      </c>
      <c r="G215" s="20">
        <f t="shared" si="60"/>
        <v>5.3095353957855842</v>
      </c>
      <c r="I215" s="20">
        <f t="shared" si="55"/>
        <v>0.66141579093399849</v>
      </c>
      <c r="K215" s="20">
        <f t="shared" si="65"/>
        <v>29.011041045520209</v>
      </c>
      <c r="L215" s="20">
        <f t="shared" si="56"/>
        <v>-0.37888812578811371</v>
      </c>
      <c r="M215" s="20">
        <f t="shared" si="61"/>
        <v>-8.2492515956480226</v>
      </c>
      <c r="N215" s="1">
        <f t="shared" si="66"/>
        <v>92.704357119747982</v>
      </c>
      <c r="P215" s="20">
        <f t="shared" si="67"/>
        <v>22.581497696651482</v>
      </c>
      <c r="Q215" s="20">
        <f t="shared" si="62"/>
        <v>-0.43645544952933368</v>
      </c>
      <c r="R215" s="20">
        <f t="shared" si="63"/>
        <v>-9.5026224587270569</v>
      </c>
      <c r="S215" s="20">
        <f t="shared" si="68"/>
        <v>67.598606574316221</v>
      </c>
      <c r="T215" s="1">
        <f t="shared" si="69"/>
        <v>0</v>
      </c>
    </row>
    <row r="216" spans="1:20" x14ac:dyDescent="0.25">
      <c r="A216" s="20">
        <f t="shared" si="64"/>
        <v>2.109999999999999</v>
      </c>
      <c r="C216" s="20">
        <f t="shared" si="54"/>
        <v>36.640173570703524</v>
      </c>
      <c r="D216" s="20">
        <f t="shared" si="57"/>
        <v>0.28837123350379562</v>
      </c>
      <c r="E216" s="20">
        <f t="shared" si="58"/>
        <v>6.2784940889134688</v>
      </c>
      <c r="F216" s="20">
        <f t="shared" si="59"/>
        <v>0.2422318361431883</v>
      </c>
      <c r="G216" s="20">
        <f t="shared" si="60"/>
        <v>5.2739350346873133</v>
      </c>
      <c r="I216" s="20">
        <f t="shared" si="55"/>
        <v>0.6607521026792037</v>
      </c>
      <c r="K216" s="20">
        <f t="shared" si="65"/>
        <v>28.928548529563727</v>
      </c>
      <c r="L216" s="20">
        <f t="shared" si="56"/>
        <v>-0.37633829625276738</v>
      </c>
      <c r="M216" s="20">
        <f t="shared" si="61"/>
        <v>-8.1937360385971569</v>
      </c>
      <c r="N216" s="1">
        <f t="shared" si="66"/>
        <v>92.994055067623393</v>
      </c>
      <c r="P216" s="20">
        <f t="shared" si="67"/>
        <v>22.48647147206421</v>
      </c>
      <c r="Q216" s="20">
        <f t="shared" si="62"/>
        <v>-0.43630033508848465</v>
      </c>
      <c r="R216" s="20">
        <f t="shared" si="63"/>
        <v>-9.4992452664594964</v>
      </c>
      <c r="S216" s="20">
        <f t="shared" si="68"/>
        <v>67.8239464201598</v>
      </c>
      <c r="T216" s="1">
        <f t="shared" si="69"/>
        <v>0</v>
      </c>
    </row>
    <row r="217" spans="1:20" x14ac:dyDescent="0.25">
      <c r="A217" s="20">
        <f t="shared" si="64"/>
        <v>2.1199999999999988</v>
      </c>
      <c r="C217" s="20">
        <f t="shared" si="54"/>
        <v>36.517191959705002</v>
      </c>
      <c r="D217" s="20">
        <f t="shared" si="57"/>
        <v>0.28643866398247569</v>
      </c>
      <c r="E217" s="20">
        <f t="shared" si="58"/>
        <v>6.2364176786953127</v>
      </c>
      <c r="F217" s="20">
        <f t="shared" si="59"/>
        <v>0.24060847774527958</v>
      </c>
      <c r="G217" s="20">
        <f t="shared" si="60"/>
        <v>5.2385908501040621</v>
      </c>
      <c r="I217" s="20">
        <f t="shared" si="55"/>
        <v>0.66007533566435261</v>
      </c>
      <c r="K217" s="20">
        <f t="shared" si="65"/>
        <v>28.846611169177756</v>
      </c>
      <c r="L217" s="20">
        <f t="shared" si="56"/>
        <v>-0.37380651995659675</v>
      </c>
      <c r="M217" s="20">
        <f t="shared" si="61"/>
        <v>-8.1386135414020639</v>
      </c>
      <c r="N217" s="1">
        <f t="shared" si="66"/>
        <v>93.282930866117098</v>
      </c>
      <c r="P217" s="20">
        <f t="shared" si="67"/>
        <v>22.391479019399615</v>
      </c>
      <c r="Q217" s="20">
        <f t="shared" si="62"/>
        <v>-0.43614300461477851</v>
      </c>
      <c r="R217" s="20">
        <f t="shared" si="63"/>
        <v>-9.4958198261436646</v>
      </c>
      <c r="S217" s="20">
        <f t="shared" si="68"/>
        <v>68.048336172617113</v>
      </c>
      <c r="T217" s="1">
        <f t="shared" si="69"/>
        <v>0</v>
      </c>
    </row>
    <row r="218" spans="1:20" x14ac:dyDescent="0.25">
      <c r="A218" s="20">
        <f t="shared" si="64"/>
        <v>2.1299999999999986</v>
      </c>
      <c r="C218" s="20">
        <f t="shared" si="54"/>
        <v>36.394683842156347</v>
      </c>
      <c r="D218" s="20">
        <f t="shared" si="57"/>
        <v>0.28451999511585224</v>
      </c>
      <c r="E218" s="20">
        <f t="shared" si="58"/>
        <v>6.1946439171750978</v>
      </c>
      <c r="F218" s="20">
        <f t="shared" si="59"/>
        <v>0.2389967958973159</v>
      </c>
      <c r="G218" s="20">
        <f t="shared" si="60"/>
        <v>5.2035008904270823</v>
      </c>
      <c r="I218" s="20">
        <f t="shared" si="55"/>
        <v>0.65938546018437727</v>
      </c>
      <c r="K218" s="20">
        <f t="shared" si="65"/>
        <v>28.765225033763734</v>
      </c>
      <c r="L218" s="20">
        <f t="shared" si="56"/>
        <v>-0.37129265308716114</v>
      </c>
      <c r="M218" s="20">
        <f t="shared" si="61"/>
        <v>-8.0838809729405874</v>
      </c>
      <c r="N218" s="1">
        <f t="shared" si="66"/>
        <v>93.570990047131801</v>
      </c>
      <c r="P218" s="20">
        <f t="shared" si="67"/>
        <v>22.296520821138177</v>
      </c>
      <c r="Q218" s="20">
        <f t="shared" si="62"/>
        <v>-0.43598351475809582</v>
      </c>
      <c r="R218" s="20">
        <f t="shared" si="63"/>
        <v>-9.4923473711756117</v>
      </c>
      <c r="S218" s="20">
        <f t="shared" si="68"/>
        <v>68.271776171819809</v>
      </c>
      <c r="T218" s="1">
        <f t="shared" si="69"/>
        <v>0</v>
      </c>
    </row>
    <row r="219" spans="1:20" x14ac:dyDescent="0.25">
      <c r="A219" s="20">
        <f t="shared" si="64"/>
        <v>2.1399999999999983</v>
      </c>
      <c r="C219" s="20">
        <f t="shared" si="54"/>
        <v>36.272647240404474</v>
      </c>
      <c r="D219" s="20">
        <f t="shared" si="57"/>
        <v>0.28261512132690403</v>
      </c>
      <c r="E219" s="20">
        <f t="shared" si="58"/>
        <v>6.153170505702243</v>
      </c>
      <c r="F219" s="20">
        <f t="shared" si="59"/>
        <v>0.23739670191459938</v>
      </c>
      <c r="G219" s="20">
        <f t="shared" si="60"/>
        <v>5.168663224789884</v>
      </c>
      <c r="I219" s="20">
        <f t="shared" si="55"/>
        <v>0.65868244617821536</v>
      </c>
      <c r="K219" s="20">
        <f t="shared" si="65"/>
        <v>28.684386224034327</v>
      </c>
      <c r="L219" s="20">
        <f t="shared" si="56"/>
        <v>-0.36879655327464372</v>
      </c>
      <c r="M219" s="20">
        <f t="shared" si="61"/>
        <v>-8.0295352334997538</v>
      </c>
      <c r="N219" s="1">
        <f t="shared" si="66"/>
        <v>93.858238103420803</v>
      </c>
      <c r="P219" s="20">
        <f t="shared" si="67"/>
        <v>22.201597347426421</v>
      </c>
      <c r="Q219" s="20">
        <f t="shared" si="62"/>
        <v>-0.43582192124095787</v>
      </c>
      <c r="R219" s="20">
        <f t="shared" si="63"/>
        <v>-9.4888291147606765</v>
      </c>
      <c r="S219" s="20">
        <f t="shared" si="68"/>
        <v>68.494266762662633</v>
      </c>
      <c r="T219" s="1">
        <f t="shared" si="69"/>
        <v>0</v>
      </c>
    </row>
    <row r="220" spans="1:20" x14ac:dyDescent="0.25">
      <c r="A220" s="20">
        <f t="shared" si="64"/>
        <v>2.1499999999999981</v>
      </c>
      <c r="C220" s="20">
        <f t="shared" si="54"/>
        <v>36.151080203714422</v>
      </c>
      <c r="D220" s="20">
        <f t="shared" si="57"/>
        <v>0.28072393815873575</v>
      </c>
      <c r="E220" s="20">
        <f t="shared" si="58"/>
        <v>6.1119951700138424</v>
      </c>
      <c r="F220" s="20">
        <f t="shared" si="59"/>
        <v>0.23580810805333802</v>
      </c>
      <c r="G220" s="20">
        <f t="shared" si="60"/>
        <v>5.1340759428116272</v>
      </c>
      <c r="I220" s="20">
        <f t="shared" si="55"/>
        <v>0.65796626323049368</v>
      </c>
      <c r="K220" s="20">
        <f t="shared" si="65"/>
        <v>28.604090871699331</v>
      </c>
      <c r="L220" s="20">
        <f t="shared" si="56"/>
        <v>-0.36631807957538765</v>
      </c>
      <c r="M220" s="20">
        <f t="shared" si="61"/>
        <v>-7.9755732544173235</v>
      </c>
      <c r="N220" s="1">
        <f t="shared" si="66"/>
        <v>94.144680488899468</v>
      </c>
      <c r="P220" s="20">
        <f t="shared" si="67"/>
        <v>22.106709056278813</v>
      </c>
      <c r="Q220" s="20">
        <f t="shared" si="62"/>
        <v>-0.43565827887214459</v>
      </c>
      <c r="R220" s="20">
        <f t="shared" si="63"/>
        <v>-9.4852662502099854</v>
      </c>
      <c r="S220" s="20">
        <f t="shared" si="68"/>
        <v>68.715808294681167</v>
      </c>
      <c r="T220" s="1">
        <f t="shared" si="69"/>
        <v>0</v>
      </c>
    </row>
    <row r="221" spans="1:20" x14ac:dyDescent="0.25">
      <c r="A221" s="20">
        <f t="shared" si="64"/>
        <v>2.1599999999999979</v>
      </c>
      <c r="C221" s="20">
        <f t="shared" si="54"/>
        <v>36.029980808086627</v>
      </c>
      <c r="D221" s="20">
        <f t="shared" si="57"/>
        <v>0.27884634226074995</v>
      </c>
      <c r="E221" s="20">
        <f t="shared" si="58"/>
        <v>6.0711156599335938</v>
      </c>
      <c r="F221" s="20">
        <f t="shared" si="59"/>
        <v>0.23423092749902996</v>
      </c>
      <c r="G221" s="20">
        <f t="shared" si="60"/>
        <v>5.0997371543442185</v>
      </c>
      <c r="I221" s="20">
        <f t="shared" si="55"/>
        <v>0.65723688057326179</v>
      </c>
      <c r="K221" s="20">
        <f t="shared" si="65"/>
        <v>28.524335139155159</v>
      </c>
      <c r="L221" s="20">
        <f t="shared" si="56"/>
        <v>-0.36385709245564168</v>
      </c>
      <c r="M221" s="20">
        <f t="shared" si="61"/>
        <v>-7.9219919977278836</v>
      </c>
      <c r="N221" s="1">
        <f t="shared" si="66"/>
        <v>94.430322618953738</v>
      </c>
      <c r="P221" s="20">
        <f t="shared" si="67"/>
        <v>22.011856393776714</v>
      </c>
      <c r="Q221" s="20">
        <f t="shared" si="62"/>
        <v>-0.43549264156007117</v>
      </c>
      <c r="R221" s="20">
        <f t="shared" si="63"/>
        <v>-9.4816599512316824</v>
      </c>
      <c r="S221" s="20">
        <f t="shared" si="68"/>
        <v>68.936401121931439</v>
      </c>
      <c r="T221" s="1">
        <f t="shared" si="69"/>
        <v>0</v>
      </c>
    </row>
    <row r="222" spans="1:20" x14ac:dyDescent="0.25">
      <c r="A222" s="20">
        <f t="shared" si="64"/>
        <v>2.1699999999999977</v>
      </c>
      <c r="C222" s="20">
        <f t="shared" si="54"/>
        <v>35.90934715607726</v>
      </c>
      <c r="D222" s="20">
        <f t="shared" si="57"/>
        <v>0.27698223137502098</v>
      </c>
      <c r="E222" s="20">
        <f t="shared" si="58"/>
        <v>6.0305297490751357</v>
      </c>
      <c r="F222" s="20">
        <f t="shared" si="59"/>
        <v>0.23266507435501763</v>
      </c>
      <c r="G222" s="20">
        <f t="shared" si="60"/>
        <v>5.0656449892231139</v>
      </c>
      <c r="I222" s="20">
        <f t="shared" si="55"/>
        <v>0.6564942670877767</v>
      </c>
      <c r="K222" s="20">
        <f t="shared" si="65"/>
        <v>28.445115219177879</v>
      </c>
      <c r="L222" s="20">
        <f t="shared" si="56"/>
        <v>-0.36141345377551537</v>
      </c>
      <c r="M222" s="20">
        <f t="shared" si="61"/>
        <v>-7.8687884558135286</v>
      </c>
      <c r="N222" s="1">
        <f t="shared" si="66"/>
        <v>94.715169870745413</v>
      </c>
      <c r="P222" s="20">
        <f t="shared" si="67"/>
        <v>21.917039794264397</v>
      </c>
      <c r="Q222" s="20">
        <f t="shared" si="62"/>
        <v>-0.43532506232592927</v>
      </c>
      <c r="R222" s="20">
        <f t="shared" si="63"/>
        <v>-9.478011372217054</v>
      </c>
      <c r="S222" s="20">
        <f t="shared" si="68"/>
        <v>69.156045602871657</v>
      </c>
      <c r="T222" s="1">
        <f t="shared" si="69"/>
        <v>0</v>
      </c>
    </row>
    <row r="223" spans="1:20" x14ac:dyDescent="0.25">
      <c r="A223" s="20">
        <f t="shared" si="64"/>
        <v>2.1799999999999975</v>
      </c>
      <c r="C223" s="20">
        <f t="shared" si="54"/>
        <v>35.789177376621566</v>
      </c>
      <c r="D223" s="20">
        <f t="shared" si="57"/>
        <v>0.27513150432286648</v>
      </c>
      <c r="E223" s="20">
        <f t="shared" si="58"/>
        <v>5.9902352345496732</v>
      </c>
      <c r="F223" s="20">
        <f t="shared" si="59"/>
        <v>0.23111046363120782</v>
      </c>
      <c r="G223" s="20">
        <f t="shared" si="60"/>
        <v>5.0317975970217255</v>
      </c>
      <c r="I223" s="20">
        <f t="shared" si="55"/>
        <v>0.6557383913063406</v>
      </c>
      <c r="K223" s="20">
        <f t="shared" si="65"/>
        <v>28.366427334619743</v>
      </c>
      <c r="L223" s="20">
        <f t="shared" si="56"/>
        <v>-0.35898702677314098</v>
      </c>
      <c r="M223" s="20">
        <f t="shared" si="61"/>
        <v>-7.8159596510590248</v>
      </c>
      <c r="N223" s="1">
        <f t="shared" si="66"/>
        <v>94.999227583514397</v>
      </c>
      <c r="P223" s="20">
        <f t="shared" si="67"/>
        <v>21.822259680542228</v>
      </c>
      <c r="Q223" s="20">
        <f t="shared" si="62"/>
        <v>-0.4351555933165947</v>
      </c>
      <c r="R223" s="20">
        <f t="shared" si="63"/>
        <v>-9.4743216485215491</v>
      </c>
      <c r="S223" s="20">
        <f t="shared" si="68"/>
        <v>69.374742100245697</v>
      </c>
      <c r="T223" s="1">
        <f t="shared" si="69"/>
        <v>0</v>
      </c>
    </row>
    <row r="224" spans="1:20" x14ac:dyDescent="0.25">
      <c r="A224" s="20">
        <f t="shared" si="64"/>
        <v>2.1899999999999973</v>
      </c>
      <c r="C224" s="20">
        <f t="shared" si="54"/>
        <v>35.669469624860078</v>
      </c>
      <c r="D224" s="20">
        <f t="shared" si="57"/>
        <v>0.27329406099161258</v>
      </c>
      <c r="E224" s="20">
        <f t="shared" si="58"/>
        <v>5.9502299366778271</v>
      </c>
      <c r="F224" s="20">
        <f t="shared" si="59"/>
        <v>0.22956701123295456</v>
      </c>
      <c r="G224" s="20">
        <f t="shared" si="60"/>
        <v>4.9981931468093741</v>
      </c>
      <c r="I224" s="20">
        <f t="shared" si="55"/>
        <v>0.65496922141419323</v>
      </c>
      <c r="K224" s="20">
        <f t="shared" si="65"/>
        <v>28.288267738109152</v>
      </c>
      <c r="L224" s="20">
        <f t="shared" si="56"/>
        <v>-0.35657767604903501</v>
      </c>
      <c r="M224" s="20">
        <f t="shared" si="61"/>
        <v>-7.7635026355113217</v>
      </c>
      <c r="N224" s="1">
        <f t="shared" si="66"/>
        <v>95.282501058878054</v>
      </c>
      <c r="P224" s="20">
        <f t="shared" si="67"/>
        <v>21.727516464057011</v>
      </c>
      <c r="Q224" s="20">
        <f t="shared" si="62"/>
        <v>-0.43498428581730747</v>
      </c>
      <c r="R224" s="20">
        <f t="shared" si="63"/>
        <v>-9.4705918967408547</v>
      </c>
      <c r="S224" s="20">
        <f t="shared" si="68"/>
        <v>69.592490980968691</v>
      </c>
      <c r="T224" s="1">
        <f t="shared" si="69"/>
        <v>0</v>
      </c>
    </row>
    <row r="225" spans="1:20" x14ac:dyDescent="0.25">
      <c r="A225" s="20">
        <f t="shared" si="64"/>
        <v>2.1999999999999971</v>
      </c>
      <c r="C225" s="20">
        <f t="shared" si="54"/>
        <v>35.550222081967739</v>
      </c>
      <c r="D225" s="20">
        <f t="shared" si="57"/>
        <v>0.27146980232155088</v>
      </c>
      <c r="E225" s="20">
        <f t="shared" si="58"/>
        <v>5.9105116987056583</v>
      </c>
      <c r="F225" s="20">
        <f t="shared" si="59"/>
        <v>0.22803463395010273</v>
      </c>
      <c r="G225" s="20">
        <f t="shared" si="60"/>
        <v>4.9648298269127533</v>
      </c>
      <c r="I225" s="20">
        <f t="shared" si="55"/>
        <v>0.65418672525146038</v>
      </c>
      <c r="K225" s="20">
        <f t="shared" si="65"/>
        <v>28.210632711754037</v>
      </c>
      <c r="L225" s="20">
        <f t="shared" si="56"/>
        <v>-0.35418526755066138</v>
      </c>
      <c r="M225" s="20">
        <f t="shared" si="61"/>
        <v>-7.7114144905434658</v>
      </c>
      <c r="N225" s="1">
        <f t="shared" si="66"/>
        <v>95.564995561127375</v>
      </c>
      <c r="P225" s="20">
        <f t="shared" si="67"/>
        <v>21.632810545089601</v>
      </c>
      <c r="Q225" s="20">
        <f t="shared" si="62"/>
        <v>-0.43481119026412812</v>
      </c>
      <c r="R225" s="20">
        <f t="shared" si="63"/>
        <v>-9.4668232149821065</v>
      </c>
      <c r="S225" s="20">
        <f t="shared" si="68"/>
        <v>69.809292616014417</v>
      </c>
      <c r="T225" s="1">
        <f t="shared" si="69"/>
        <v>0</v>
      </c>
    </row>
    <row r="226" spans="1:20" x14ac:dyDescent="0.25">
      <c r="A226" s="20">
        <f t="shared" si="64"/>
        <v>2.2099999999999969</v>
      </c>
      <c r="C226" s="20">
        <f t="shared" si="54"/>
        <v>35.431432954985915</v>
      </c>
      <c r="D226" s="20">
        <f t="shared" si="57"/>
        <v>0.26965863029308373</v>
      </c>
      <c r="E226" s="20">
        <f t="shared" si="58"/>
        <v>5.8710783865247933</v>
      </c>
      <c r="F226" s="20">
        <f t="shared" si="59"/>
        <v>0.22651324944619033</v>
      </c>
      <c r="G226" s="20">
        <f t="shared" si="60"/>
        <v>4.9317058446808257</v>
      </c>
      <c r="I226" s="20">
        <f t="shared" si="55"/>
        <v>0.65339087031516141</v>
      </c>
      <c r="K226" s="20">
        <f t="shared" si="65"/>
        <v>28.133518566848604</v>
      </c>
      <c r="L226" s="20">
        <f t="shared" si="56"/>
        <v>-0.35180966855719042</v>
      </c>
      <c r="M226" s="20">
        <f t="shared" si="61"/>
        <v>-7.6596923265227614</v>
      </c>
      <c r="N226" s="1">
        <f t="shared" si="66"/>
        <v>95.846716317520389</v>
      </c>
      <c r="P226" s="20">
        <f t="shared" si="67"/>
        <v>21.53814231293978</v>
      </c>
      <c r="Q226" s="20">
        <f t="shared" si="62"/>
        <v>-0.43463635625617397</v>
      </c>
      <c r="R226" s="20">
        <f t="shared" si="63"/>
        <v>-9.4630166831302844</v>
      </c>
      <c r="S226" s="20">
        <f t="shared" si="68"/>
        <v>70.02514738030456</v>
      </c>
      <c r="T226" s="1">
        <f t="shared" si="69"/>
        <v>0</v>
      </c>
    </row>
    <row r="227" spans="1:20" x14ac:dyDescent="0.25">
      <c r="A227" s="20">
        <f t="shared" si="64"/>
        <v>2.2199999999999966</v>
      </c>
      <c r="C227" s="20">
        <f t="shared" si="54"/>
        <v>35.313100476657091</v>
      </c>
      <c r="D227" s="20">
        <f t="shared" si="57"/>
        <v>0.26786044791405317</v>
      </c>
      <c r="E227" s="20">
        <f t="shared" si="58"/>
        <v>5.8319278883965424</v>
      </c>
      <c r="F227" s="20">
        <f t="shared" si="59"/>
        <v>0.22500277624780465</v>
      </c>
      <c r="G227" s="20">
        <f t="shared" si="60"/>
        <v>4.8988194262530955</v>
      </c>
      <c r="I227" s="20">
        <f t="shared" si="55"/>
        <v>0.65258162376127571</v>
      </c>
      <c r="K227" s="20">
        <f t="shared" si="65"/>
        <v>28.056921643583376</v>
      </c>
      <c r="L227" s="20">
        <f t="shared" si="56"/>
        <v>-0.34945074766444995</v>
      </c>
      <c r="M227" s="20">
        <f t="shared" si="61"/>
        <v>-7.6083332824831258</v>
      </c>
      <c r="N227" s="1">
        <f t="shared" si="66"/>
        <v>96.127668518572548</v>
      </c>
      <c r="P227" s="20">
        <f t="shared" si="67"/>
        <v>21.443512146108478</v>
      </c>
      <c r="Q227" s="20">
        <f t="shared" si="62"/>
        <v>-0.43445983256763854</v>
      </c>
      <c r="R227" s="20">
        <f t="shared" si="63"/>
        <v>-9.4591733631099189</v>
      </c>
      <c r="S227" s="20">
        <f t="shared" si="68"/>
        <v>70.240055652599807</v>
      </c>
      <c r="T227" s="1">
        <f t="shared" si="69"/>
        <v>0</v>
      </c>
    </row>
    <row r="228" spans="1:20" x14ac:dyDescent="0.25">
      <c r="A228" s="20">
        <f t="shared" si="64"/>
        <v>2.2299999999999964</v>
      </c>
      <c r="C228" s="20">
        <f t="shared" si="54"/>
        <v>35.195222905262391</v>
      </c>
      <c r="D228" s="20">
        <f t="shared" si="57"/>
        <v>0.26607515920725233</v>
      </c>
      <c r="E228" s="20">
        <f t="shared" si="58"/>
        <v>5.7930581146799991</v>
      </c>
      <c r="F228" s="20">
        <f t="shared" si="59"/>
        <v>0.22350313373409195</v>
      </c>
      <c r="G228" s="20">
        <f t="shared" si="60"/>
        <v>4.8661688163311982</v>
      </c>
      <c r="I228" s="20">
        <f t="shared" si="55"/>
        <v>0.65175895240687065</v>
      </c>
      <c r="K228" s="20">
        <f t="shared" si="65"/>
        <v>27.980838310758546</v>
      </c>
      <c r="L228" s="20">
        <f t="shared" si="56"/>
        <v>-0.34710837477006751</v>
      </c>
      <c r="M228" s="20">
        <f t="shared" si="61"/>
        <v>-7.5573345258016005</v>
      </c>
      <c r="N228" s="1">
        <f t="shared" si="66"/>
        <v>96.407857318344256</v>
      </c>
      <c r="P228" s="20">
        <f t="shared" si="67"/>
        <v>21.34892041247738</v>
      </c>
      <c r="Q228" s="20">
        <f t="shared" si="62"/>
        <v>-0.43428166715959937</v>
      </c>
      <c r="R228" s="20">
        <f t="shared" si="63"/>
        <v>-9.4552942991421602</v>
      </c>
      <c r="S228" s="20">
        <f t="shared" si="68"/>
        <v>70.454017815392731</v>
      </c>
      <c r="T228" s="1">
        <f t="shared" si="69"/>
        <v>0</v>
      </c>
    </row>
    <row r="229" spans="1:20" x14ac:dyDescent="0.25">
      <c r="A229" s="20">
        <f t="shared" si="64"/>
        <v>2.2399999999999962</v>
      </c>
      <c r="C229" s="20">
        <f t="shared" si="54"/>
        <v>35.077798524461798</v>
      </c>
      <c r="D229" s="20">
        <f t="shared" si="57"/>
        <v>0.26430266919811579</v>
      </c>
      <c r="E229" s="20">
        <f t="shared" si="58"/>
        <v>5.7544669975640277</v>
      </c>
      <c r="F229" s="20">
        <f t="shared" si="59"/>
        <v>0.22201424212641727</v>
      </c>
      <c r="G229" s="20">
        <f t="shared" si="60"/>
        <v>4.8337522779537831</v>
      </c>
      <c r="I229" s="20">
        <f t="shared" si="55"/>
        <v>0.65092282273229529</v>
      </c>
      <c r="K229" s="20">
        <f t="shared" si="65"/>
        <v>27.905264965500532</v>
      </c>
      <c r="L229" s="20">
        <f t="shared" si="56"/>
        <v>-0.34478242105880053</v>
      </c>
      <c r="M229" s="20">
        <f t="shared" si="61"/>
        <v>-7.506693251878958</v>
      </c>
      <c r="N229" s="1">
        <f t="shared" si="66"/>
        <v>96.687287834725538</v>
      </c>
      <c r="P229" s="20">
        <f t="shared" si="67"/>
        <v>21.25436746948596</v>
      </c>
      <c r="Q229" s="20">
        <f t="shared" si="62"/>
        <v>-0.43410190719161718</v>
      </c>
      <c r="R229" s="20">
        <f t="shared" si="63"/>
        <v>-9.4513805179973254</v>
      </c>
      <c r="S229" s="20">
        <f t="shared" si="68"/>
        <v>70.667034254802545</v>
      </c>
      <c r="T229" s="1">
        <f t="shared" si="69"/>
        <v>0</v>
      </c>
    </row>
    <row r="230" spans="1:20" x14ac:dyDescent="0.25">
      <c r="A230" s="20">
        <f t="shared" si="64"/>
        <v>2.249999999999996</v>
      </c>
      <c r="C230" s="20">
        <f t="shared" si="54"/>
        <v>34.960825643136985</v>
      </c>
      <c r="D230" s="20">
        <f t="shared" si="57"/>
        <v>0.26254288390258529</v>
      </c>
      <c r="E230" s="20">
        <f t="shared" si="58"/>
        <v>5.7161524908030765</v>
      </c>
      <c r="F230" s="20">
        <f t="shared" si="59"/>
        <v>0.22053602247817164</v>
      </c>
      <c r="G230" s="20">
        <f t="shared" si="60"/>
        <v>4.801568092274584</v>
      </c>
      <c r="I230" s="20">
        <f t="shared" si="55"/>
        <v>0.65007320088343623</v>
      </c>
      <c r="K230" s="20">
        <f t="shared" si="65"/>
        <v>27.830198032981741</v>
      </c>
      <c r="L230" s="20">
        <f t="shared" si="56"/>
        <v>-0.34247275898805007</v>
      </c>
      <c r="M230" s="20">
        <f t="shared" si="61"/>
        <v>-7.4564066838242997</v>
      </c>
      <c r="N230" s="1">
        <f t="shared" si="66"/>
        <v>96.965965149717945</v>
      </c>
      <c r="P230" s="20">
        <f t="shared" si="67"/>
        <v>21.159853664305988</v>
      </c>
      <c r="Q230" s="20">
        <f t="shared" si="62"/>
        <v>-0.43392059903312974</v>
      </c>
      <c r="R230" s="20">
        <f t="shared" si="63"/>
        <v>-9.4474330292429727</v>
      </c>
      <c r="S230" s="20">
        <f t="shared" si="68"/>
        <v>70.879105360471499</v>
      </c>
      <c r="T230" s="1">
        <f t="shared" si="69"/>
        <v>0</v>
      </c>
    </row>
    <row r="231" spans="1:20" x14ac:dyDescent="0.25">
      <c r="A231" s="20">
        <f t="shared" si="64"/>
        <v>2.2599999999999958</v>
      </c>
      <c r="C231" s="20">
        <f t="shared" si="54"/>
        <v>34.844302595236776</v>
      </c>
      <c r="D231" s="20">
        <f t="shared" si="57"/>
        <v>0.26079571031514792</v>
      </c>
      <c r="E231" s="20">
        <f t="shared" si="58"/>
        <v>5.6781125694567374</v>
      </c>
      <c r="F231" s="20">
        <f t="shared" si="59"/>
        <v>0.21906839666472427</v>
      </c>
      <c r="G231" s="20">
        <f t="shared" si="60"/>
        <v>4.7696145583436591</v>
      </c>
      <c r="I231" s="20">
        <f t="shared" si="55"/>
        <v>0.64921005267404375</v>
      </c>
      <c r="K231" s="20">
        <f t="shared" si="65"/>
        <v>27.755633966143499</v>
      </c>
      <c r="L231" s="20">
        <f t="shared" si="56"/>
        <v>-0.34017926227355622</v>
      </c>
      <c r="M231" s="20">
        <f t="shared" si="61"/>
        <v>-7.4064720721436146</v>
      </c>
      <c r="N231" s="1">
        <f t="shared" si="66"/>
        <v>97.243894309713568</v>
      </c>
      <c r="P231" s="20">
        <f t="shared" si="67"/>
        <v>21.06537933401356</v>
      </c>
      <c r="Q231" s="20">
        <f t="shared" si="62"/>
        <v>-0.43373778827464537</v>
      </c>
      <c r="R231" s="20">
        <f t="shared" si="63"/>
        <v>-9.4434528254875989</v>
      </c>
      <c r="S231" s="20">
        <f t="shared" si="68"/>
        <v>71.090231525463096</v>
      </c>
      <c r="T231" s="1">
        <f t="shared" si="69"/>
        <v>0</v>
      </c>
    </row>
    <row r="232" spans="1:20" x14ac:dyDescent="0.25">
      <c r="A232" s="20">
        <f t="shared" si="64"/>
        <v>2.2699999999999956</v>
      </c>
      <c r="C232" s="20">
        <f t="shared" si="54"/>
        <v>34.728227739625204</v>
      </c>
      <c r="D232" s="20">
        <f t="shared" si="57"/>
        <v>0.25906105639704569</v>
      </c>
      <c r="E232" s="20">
        <f t="shared" si="58"/>
        <v>5.6403452296330432</v>
      </c>
      <c r="F232" s="20">
        <f t="shared" si="59"/>
        <v>0.21761128737351837</v>
      </c>
      <c r="G232" s="20">
        <f t="shared" si="60"/>
        <v>4.7378899928917564</v>
      </c>
      <c r="I232" s="20">
        <f t="shared" si="55"/>
        <v>0.64833334358812555</v>
      </c>
      <c r="K232" s="20">
        <f t="shared" si="65"/>
        <v>27.681569245422065</v>
      </c>
      <c r="L232" s="20">
        <f t="shared" si="56"/>
        <v>-0.33790180587527441</v>
      </c>
      <c r="M232" s="20">
        <f t="shared" si="61"/>
        <v>-7.3568866944322755</v>
      </c>
      <c r="N232" s="1">
        <f t="shared" si="66"/>
        <v>97.521080325771393</v>
      </c>
      <c r="P232" s="20">
        <f t="shared" si="67"/>
        <v>20.970944805758684</v>
      </c>
      <c r="Q232" s="20">
        <f t="shared" si="62"/>
        <v>-0.43355351973873735</v>
      </c>
      <c r="R232" s="20">
        <f t="shared" si="63"/>
        <v>-9.4394408826200173</v>
      </c>
      <c r="S232" s="20">
        <f t="shared" si="68"/>
        <v>71.300413146161958</v>
      </c>
      <c r="T232" s="1">
        <f t="shared" si="69"/>
        <v>0</v>
      </c>
    </row>
    <row r="233" spans="1:20" x14ac:dyDescent="0.25">
      <c r="A233" s="20">
        <f t="shared" si="64"/>
        <v>2.2799999999999954</v>
      </c>
      <c r="C233" s="20">
        <f t="shared" si="54"/>
        <v>34.612599459932056</v>
      </c>
      <c r="D233" s="20">
        <f t="shared" si="57"/>
        <v>0.25733883106465083</v>
      </c>
      <c r="E233" s="20">
        <f t="shared" si="58"/>
        <v>5.6028484882353764</v>
      </c>
      <c r="F233" s="20">
        <f t="shared" si="59"/>
        <v>0.2161646180943067</v>
      </c>
      <c r="G233" s="20">
        <f t="shared" si="60"/>
        <v>4.7063927301177166</v>
      </c>
      <c r="I233" s="20">
        <f t="shared" si="55"/>
        <v>0.64744303878241305</v>
      </c>
      <c r="K233" s="20">
        <f t="shared" si="65"/>
        <v>27.60800037847774</v>
      </c>
      <c r="L233" s="20">
        <f t="shared" si="56"/>
        <v>-0.33564026598342522</v>
      </c>
      <c r="M233" s="20">
        <f t="shared" si="61"/>
        <v>-7.3076478550713091</v>
      </c>
      <c r="N233" s="1">
        <f t="shared" si="66"/>
        <v>97.797528173890896</v>
      </c>
      <c r="P233" s="20">
        <f t="shared" si="67"/>
        <v>20.876550396932483</v>
      </c>
      <c r="Q233" s="20">
        <f t="shared" si="62"/>
        <v>-0.43336783749084562</v>
      </c>
      <c r="R233" s="20">
        <f t="shared" si="63"/>
        <v>-9.4353981600445387</v>
      </c>
      <c r="S233" s="20">
        <f t="shared" si="68"/>
        <v>71.509650622175414</v>
      </c>
      <c r="T233" s="1">
        <f t="shared" si="69"/>
        <v>0</v>
      </c>
    </row>
    <row r="234" spans="1:20" x14ac:dyDescent="0.25">
      <c r="A234" s="20">
        <f t="shared" si="64"/>
        <v>2.2899999999999952</v>
      </c>
      <c r="C234" s="20">
        <f t="shared" si="54"/>
        <v>34.497416164405884</v>
      </c>
      <c r="D234" s="20">
        <f t="shared" si="57"/>
        <v>0.25562894417800625</v>
      </c>
      <c r="E234" s="20">
        <f t="shared" si="58"/>
        <v>5.56562038271296</v>
      </c>
      <c r="F234" s="20">
        <f t="shared" si="59"/>
        <v>0.21472831310952523</v>
      </c>
      <c r="G234" s="20">
        <f t="shared" si="60"/>
        <v>4.6751211214788864</v>
      </c>
      <c r="I234" s="20">
        <f t="shared" si="55"/>
        <v>0.64653910308889884</v>
      </c>
      <c r="K234" s="20">
        <f t="shared" si="65"/>
        <v>27.534923899927026</v>
      </c>
      <c r="L234" s="20">
        <f t="shared" si="56"/>
        <v>-0.33339452000471992</v>
      </c>
      <c r="M234" s="20">
        <f t="shared" si="61"/>
        <v>-7.2587528849274969</v>
      </c>
      <c r="N234" s="1">
        <f t="shared" si="66"/>
        <v>98.073242795282923</v>
      </c>
      <c r="P234" s="20">
        <f t="shared" si="67"/>
        <v>20.782196415332038</v>
      </c>
      <c r="Q234" s="20">
        <f t="shared" si="62"/>
        <v>-0.43318078484988637</v>
      </c>
      <c r="R234" s="20">
        <f t="shared" si="63"/>
        <v>-9.4313256009119613</v>
      </c>
      <c r="S234" s="20">
        <f t="shared" si="68"/>
        <v>71.717944356236742</v>
      </c>
      <c r="T234" s="1">
        <f t="shared" si="69"/>
        <v>0</v>
      </c>
    </row>
    <row r="235" spans="1:20" x14ac:dyDescent="0.25">
      <c r="A235" s="20">
        <f t="shared" si="64"/>
        <v>2.2999999999999949</v>
      </c>
      <c r="C235" s="20">
        <f t="shared" si="54"/>
        <v>34.382676285769506</v>
      </c>
      <c r="D235" s="20">
        <f t="shared" si="57"/>
        <v>0.25393130652952767</v>
      </c>
      <c r="E235" s="20">
        <f t="shared" si="58"/>
        <v>5.5286589708148854</v>
      </c>
      <c r="F235" s="20">
        <f t="shared" si="59"/>
        <v>0.21330229748480325</v>
      </c>
      <c r="G235" s="20">
        <f t="shared" si="60"/>
        <v>4.6440735354845035</v>
      </c>
      <c r="I235" s="20">
        <f t="shared" si="55"/>
        <v>0.64562150101745164</v>
      </c>
      <c r="K235" s="20">
        <f t="shared" si="65"/>
        <v>27.46233637107775</v>
      </c>
      <c r="L235" s="20">
        <f t="shared" si="56"/>
        <v>-0.33116444654875576</v>
      </c>
      <c r="M235" s="20">
        <f t="shared" si="61"/>
        <v>-7.2101991410571689</v>
      </c>
      <c r="N235" s="1">
        <f t="shared" si="66"/>
        <v>98.348229096637951</v>
      </c>
      <c r="P235" s="20">
        <f t="shared" si="67"/>
        <v>20.687883159322919</v>
      </c>
      <c r="Q235" s="20">
        <f t="shared" si="62"/>
        <v>-0.4329924043986747</v>
      </c>
      <c r="R235" s="20">
        <f t="shared" si="63"/>
        <v>-9.4272241323464989</v>
      </c>
      <c r="S235" s="20">
        <f t="shared" si="68"/>
        <v>71.925294754110027</v>
      </c>
      <c r="T235" s="1">
        <f t="shared" si="69"/>
        <v>0</v>
      </c>
    </row>
    <row r="236" spans="1:20" x14ac:dyDescent="0.25">
      <c r="A236" s="20">
        <f t="shared" si="64"/>
        <v>2.3099999999999947</v>
      </c>
      <c r="C236" s="20">
        <f t="shared" si="54"/>
        <v>34.268378281077851</v>
      </c>
      <c r="D236" s="20">
        <f t="shared" si="57"/>
        <v>0.2522458298328652</v>
      </c>
      <c r="E236" s="20">
        <f t="shared" si="58"/>
        <v>5.4919623303475991</v>
      </c>
      <c r="F236" s="20">
        <f t="shared" si="59"/>
        <v>0.21188649705960677</v>
      </c>
      <c r="G236" s="20">
        <f t="shared" si="60"/>
        <v>4.6132483574919831</v>
      </c>
      <c r="I236" s="20">
        <f t="shared" si="55"/>
        <v>0.64469019675850781</v>
      </c>
      <c r="K236" s="20">
        <f t="shared" si="65"/>
        <v>27.390234379667177</v>
      </c>
      <c r="L236" s="20">
        <f t="shared" si="56"/>
        <v>-0.32894992541458079</v>
      </c>
      <c r="M236" s="20">
        <f t="shared" si="61"/>
        <v>-7.1619840064136904</v>
      </c>
      <c r="N236" s="1">
        <f t="shared" si="66"/>
        <v>98.622491950391677</v>
      </c>
      <c r="P236" s="20">
        <f t="shared" si="67"/>
        <v>20.593610917999452</v>
      </c>
      <c r="Q236" s="20">
        <f t="shared" si="62"/>
        <v>-0.43280273799416324</v>
      </c>
      <c r="R236" s="20">
        <f t="shared" si="63"/>
        <v>-9.4230946656686978</v>
      </c>
      <c r="S236" s="20">
        <f t="shared" si="68"/>
        <v>72.131702224496635</v>
      </c>
      <c r="T236" s="1">
        <f t="shared" si="69"/>
        <v>0</v>
      </c>
    </row>
    <row r="237" spans="1:20" x14ac:dyDescent="0.25">
      <c r="A237" s="20">
        <f t="shared" si="64"/>
        <v>2.3199999999999945</v>
      </c>
      <c r="C237" s="20">
        <f t="shared" si="54"/>
        <v>34.15452063157818</v>
      </c>
      <c r="D237" s="20">
        <f t="shared" si="57"/>
        <v>0.2505724267119207</v>
      </c>
      <c r="E237" s="20">
        <f t="shared" si="58"/>
        <v>5.4555285589357876</v>
      </c>
      <c r="F237" s="20">
        <f t="shared" si="59"/>
        <v>0.21048083843801341</v>
      </c>
      <c r="G237" s="20">
        <f t="shared" si="60"/>
        <v>4.582643989506062</v>
      </c>
      <c r="I237" s="20">
        <f t="shared" si="55"/>
        <v>0.64374515418584133</v>
      </c>
      <c r="K237" s="20">
        <f t="shared" si="65"/>
        <v>27.31861453960304</v>
      </c>
      <c r="L237" s="20">
        <f t="shared" si="56"/>
        <v>-0.32675083757742285</v>
      </c>
      <c r="M237" s="20">
        <f t="shared" si="61"/>
        <v>-7.1141048895585204</v>
      </c>
      <c r="N237" s="1">
        <f t="shared" si="66"/>
        <v>98.896036194988028</v>
      </c>
      <c r="P237" s="20">
        <f t="shared" si="67"/>
        <v>20.499379971342766</v>
      </c>
      <c r="Q237" s="20">
        <f t="shared" si="62"/>
        <v>-0.43261182677749899</v>
      </c>
      <c r="R237" s="20">
        <f t="shared" si="63"/>
        <v>-9.4189380966143919</v>
      </c>
      <c r="S237" s="20">
        <f t="shared" si="68"/>
        <v>72.337167178943346</v>
      </c>
      <c r="T237" s="1">
        <f t="shared" si="69"/>
        <v>0</v>
      </c>
    </row>
    <row r="238" spans="1:20" x14ac:dyDescent="0.25">
      <c r="A238" s="20">
        <f t="shared" si="64"/>
        <v>2.3299999999999943</v>
      </c>
      <c r="C238" s="20">
        <f t="shared" si="54"/>
        <v>34.041101842572608</v>
      </c>
      <c r="D238" s="20">
        <f t="shared" si="57"/>
        <v>0.24891101069001995</v>
      </c>
      <c r="E238" s="20">
        <f t="shared" si="58"/>
        <v>5.4193557737866307</v>
      </c>
      <c r="F238" s="20">
        <f t="shared" si="59"/>
        <v>0.20908524897961675</v>
      </c>
      <c r="G238" s="20">
        <f t="shared" si="60"/>
        <v>4.5522588499807695</v>
      </c>
      <c r="I238" s="20">
        <f t="shared" si="55"/>
        <v>0.64278633685941655</v>
      </c>
      <c r="K238" s="20">
        <f t="shared" si="65"/>
        <v>27.247473490707456</v>
      </c>
      <c r="L238" s="20">
        <f t="shared" si="56"/>
        <v>-0.32456706517558376</v>
      </c>
      <c r="M238" s="20">
        <f t="shared" si="61"/>
        <v>-7.0665592243758715</v>
      </c>
      <c r="N238" s="1">
        <f t="shared" si="66"/>
        <v>99.16886663513958</v>
      </c>
      <c r="P238" s="20">
        <f t="shared" si="67"/>
        <v>20.405190590376623</v>
      </c>
      <c r="Q238" s="20">
        <f t="shared" si="62"/>
        <v>-0.43241971118390299</v>
      </c>
      <c r="R238" s="20">
        <f t="shared" si="63"/>
        <v>-9.4147553055498143</v>
      </c>
      <c r="S238" s="20">
        <f t="shared" si="68"/>
        <v>72.541690031751941</v>
      </c>
      <c r="T238" s="1">
        <f t="shared" si="69"/>
        <v>0</v>
      </c>
    </row>
    <row r="239" spans="1:20" x14ac:dyDescent="0.25">
      <c r="A239" s="20">
        <f t="shared" si="64"/>
        <v>2.3399999999999941</v>
      </c>
      <c r="C239" s="20">
        <f t="shared" si="54"/>
        <v>33.928120443282879</v>
      </c>
      <c r="D239" s="20">
        <f t="shared" si="57"/>
        <v>0.24726149617923551</v>
      </c>
      <c r="E239" s="20">
        <f t="shared" si="58"/>
        <v>5.3834421114573381</v>
      </c>
      <c r="F239" s="20">
        <f t="shared" si="59"/>
        <v>0.20769965679055782</v>
      </c>
      <c r="G239" s="20">
        <f t="shared" si="60"/>
        <v>4.5220913736241632</v>
      </c>
      <c r="I239" s="20">
        <f t="shared" si="55"/>
        <v>0.64181370802832394</v>
      </c>
      <c r="K239" s="20">
        <f t="shared" si="65"/>
        <v>27.176807898463696</v>
      </c>
      <c r="L239" s="20">
        <f t="shared" si="56"/>
        <v>-0.32239849149749278</v>
      </c>
      <c r="M239" s="20">
        <f t="shared" si="61"/>
        <v>-7.0193444697908296</v>
      </c>
      <c r="N239" s="1">
        <f t="shared" si="66"/>
        <v>99.440988042085436</v>
      </c>
      <c r="P239" s="20">
        <f t="shared" si="67"/>
        <v>20.311043037321124</v>
      </c>
      <c r="Q239" s="20">
        <f t="shared" si="62"/>
        <v>-0.43222643095237478</v>
      </c>
      <c r="R239" s="20">
        <f t="shared" si="63"/>
        <v>-9.410547157682883</v>
      </c>
      <c r="S239" s="20">
        <f t="shared" si="68"/>
        <v>72.745271199890425</v>
      </c>
      <c r="T239" s="1">
        <f t="shared" si="69"/>
        <v>0</v>
      </c>
    </row>
    <row r="240" spans="1:20" x14ac:dyDescent="0.25">
      <c r="A240" s="20">
        <f t="shared" si="64"/>
        <v>2.3499999999999939</v>
      </c>
      <c r="C240" s="20">
        <f t="shared" si="54"/>
        <v>33.815574986717394</v>
      </c>
      <c r="D240" s="20">
        <f t="shared" si="57"/>
        <v>0.24562379846985935</v>
      </c>
      <c r="E240" s="20">
        <f t="shared" si="58"/>
        <v>5.3477857276259382</v>
      </c>
      <c r="F240" s="20">
        <f t="shared" si="59"/>
        <v>0.20632399071468185</v>
      </c>
      <c r="G240" s="20">
        <f t="shared" si="60"/>
        <v>4.4921400112057883</v>
      </c>
      <c r="I240" s="20">
        <f t="shared" si="55"/>
        <v>0.64082723063380198</v>
      </c>
      <c r="K240" s="20">
        <f t="shared" si="65"/>
        <v>27.10661445376579</v>
      </c>
      <c r="L240" s="20">
        <f t="shared" si="56"/>
        <v>-0.32024500096891922</v>
      </c>
      <c r="M240" s="20">
        <f t="shared" si="61"/>
        <v>-6.9724581094909475</v>
      </c>
      <c r="N240" s="1">
        <f t="shared" si="66"/>
        <v>99.712405153846589</v>
      </c>
      <c r="P240" s="20">
        <f t="shared" si="67"/>
        <v>20.216937565744296</v>
      </c>
      <c r="Q240" s="20">
        <f t="shared" si="62"/>
        <v>-0.43203202513522526</v>
      </c>
      <c r="R240" s="20">
        <f t="shared" si="63"/>
        <v>-9.4063145032707443</v>
      </c>
      <c r="S240" s="20">
        <f t="shared" si="68"/>
        <v>72.947911102905749</v>
      </c>
      <c r="T240" s="1">
        <f t="shared" si="69"/>
        <v>0</v>
      </c>
    </row>
    <row r="241" spans="1:20" x14ac:dyDescent="0.25">
      <c r="A241" s="20">
        <f t="shared" si="64"/>
        <v>2.3599999999999937</v>
      </c>
      <c r="C241" s="20">
        <f t="shared" si="54"/>
        <v>33.703464049540401</v>
      </c>
      <c r="D241" s="20">
        <f t="shared" si="57"/>
        <v>0.24399783372002143</v>
      </c>
      <c r="E241" s="20">
        <f t="shared" si="58"/>
        <v>5.3123847968652607</v>
      </c>
      <c r="F241" s="20">
        <f t="shared" si="59"/>
        <v>0.204958180324818</v>
      </c>
      <c r="G241" s="20">
        <f t="shared" si="60"/>
        <v>4.462403229366819</v>
      </c>
      <c r="I241" s="20">
        <f t="shared" si="55"/>
        <v>0.63982686731234695</v>
      </c>
      <c r="K241" s="20">
        <f t="shared" si="65"/>
        <v>27.03688987267088</v>
      </c>
      <c r="L241" s="20">
        <f t="shared" si="56"/>
        <v>-0.31810647914034096</v>
      </c>
      <c r="M241" s="20">
        <f t="shared" si="61"/>
        <v>-6.9258976516512298</v>
      </c>
      <c r="N241" s="1">
        <f t="shared" si="66"/>
        <v>99.983122675478768</v>
      </c>
      <c r="P241" s="20">
        <f t="shared" si="67"/>
        <v>20.122874420711589</v>
      </c>
      <c r="Q241" s="20">
        <f t="shared" si="62"/>
        <v>-0.43183653210744044</v>
      </c>
      <c r="R241" s="20">
        <f t="shared" si="63"/>
        <v>-9.4020581778236547</v>
      </c>
      <c r="S241" s="20">
        <f t="shared" si="68"/>
        <v>73.14961016283803</v>
      </c>
      <c r="T241" s="1">
        <f t="shared" si="69"/>
        <v>0</v>
      </c>
    </row>
    <row r="242" spans="1:20" x14ac:dyDescent="0.25">
      <c r="A242" s="20">
        <f t="shared" si="64"/>
        <v>2.3699999999999934</v>
      </c>
      <c r="C242" s="20">
        <f t="shared" si="54"/>
        <v>33.591786231943296</v>
      </c>
      <c r="D242" s="20">
        <f t="shared" si="57"/>
        <v>0.24238351894545257</v>
      </c>
      <c r="E242" s="20">
        <f t="shared" si="58"/>
        <v>5.2772375124200428</v>
      </c>
      <c r="F242" s="20">
        <f t="shared" si="59"/>
        <v>0.20360215591418016</v>
      </c>
      <c r="G242" s="20">
        <f t="shared" si="60"/>
        <v>4.4328795104328362</v>
      </c>
      <c r="I242" s="20">
        <f t="shared" si="55"/>
        <v>0.63881258039891231</v>
      </c>
      <c r="K242" s="20">
        <f t="shared" si="65"/>
        <v>26.967630896154368</v>
      </c>
      <c r="L242" s="20">
        <f t="shared" si="56"/>
        <v>-0.31598281267446582</v>
      </c>
      <c r="M242" s="20">
        <f t="shared" si="61"/>
        <v>-6.8796606286624389</v>
      </c>
      <c r="N242" s="1">
        <f t="shared" si="66"/>
        <v>100.25314527932291</v>
      </c>
      <c r="P242" s="20">
        <f t="shared" si="67"/>
        <v>20.028853838933355</v>
      </c>
      <c r="Q242" s="20">
        <f t="shared" si="62"/>
        <v>-0.43163998957587946</v>
      </c>
      <c r="R242" s="20">
        <f t="shared" si="63"/>
        <v>-9.397779002305235</v>
      </c>
      <c r="S242" s="20">
        <f t="shared" si="68"/>
        <v>73.350368804136252</v>
      </c>
      <c r="T242" s="1">
        <f t="shared" si="69"/>
        <v>0</v>
      </c>
    </row>
    <row r="243" spans="1:20" x14ac:dyDescent="0.25">
      <c r="A243" s="20">
        <f t="shared" si="64"/>
        <v>2.3799999999999932</v>
      </c>
      <c r="C243" s="20">
        <f t="shared" si="54"/>
        <v>33.480540157518099</v>
      </c>
      <c r="D243" s="20">
        <f t="shared" si="57"/>
        <v>0.24078077200938963</v>
      </c>
      <c r="E243" s="20">
        <f t="shared" si="58"/>
        <v>5.2423420859871461</v>
      </c>
      <c r="F243" s="20">
        <f t="shared" si="59"/>
        <v>0.2022558484878873</v>
      </c>
      <c r="G243" s="20">
        <f t="shared" si="60"/>
        <v>4.4035673522292029</v>
      </c>
      <c r="I243" s="20">
        <f t="shared" si="55"/>
        <v>0.63778433193020234</v>
      </c>
      <c r="K243" s="20">
        <f t="shared" si="65"/>
        <v>26.898834289867743</v>
      </c>
      <c r="L243" s="20">
        <f t="shared" si="56"/>
        <v>-0.31387388933390536</v>
      </c>
      <c r="M243" s="20">
        <f t="shared" si="61"/>
        <v>-6.8337445968627337</v>
      </c>
      <c r="N243" s="1">
        <f t="shared" si="66"/>
        <v>100.52247760525303</v>
      </c>
      <c r="P243" s="20">
        <f t="shared" si="67"/>
        <v>19.934876048910301</v>
      </c>
      <c r="Q243" s="20">
        <f t="shared" si="62"/>
        <v>-0.43144243458830989</v>
      </c>
      <c r="R243" s="20">
        <f t="shared" si="63"/>
        <v>-9.3934777833291943</v>
      </c>
      <c r="S243" s="20">
        <f t="shared" si="68"/>
        <v>73.550187453575461</v>
      </c>
      <c r="T243" s="1">
        <f t="shared" si="69"/>
        <v>0</v>
      </c>
    </row>
    <row r="244" spans="1:20" x14ac:dyDescent="0.25">
      <c r="A244" s="20">
        <f t="shared" si="64"/>
        <v>2.389999999999993</v>
      </c>
      <c r="C244" s="20">
        <f t="shared" si="54"/>
        <v>33.369724473132941</v>
      </c>
      <c r="D244" s="20">
        <f t="shared" si="57"/>
        <v>0.23918951161262039</v>
      </c>
      <c r="E244" s="20">
        <f t="shared" si="58"/>
        <v>5.2076967474988116</v>
      </c>
      <c r="F244" s="20">
        <f t="shared" si="59"/>
        <v>0.20091918975460113</v>
      </c>
      <c r="G244" s="20">
        <f t="shared" si="60"/>
        <v>4.3744652678990015</v>
      </c>
      <c r="I244" s="20">
        <f t="shared" si="55"/>
        <v>0.63674208364805895</v>
      </c>
      <c r="K244" s="20">
        <f t="shared" si="65"/>
        <v>26.830496843899116</v>
      </c>
      <c r="L244" s="20">
        <f t="shared" si="56"/>
        <v>-0.3117795979689974</v>
      </c>
      <c r="M244" s="20">
        <f t="shared" si="61"/>
        <v>-6.7881471362725323</v>
      </c>
      <c r="N244" s="1">
        <f t="shared" si="66"/>
        <v>100.79112426092186</v>
      </c>
      <c r="P244" s="20">
        <f t="shared" si="67"/>
        <v>19.840941271077011</v>
      </c>
      <c r="Q244" s="20">
        <f t="shared" si="62"/>
        <v>-0.43124390354228204</v>
      </c>
      <c r="R244" s="20">
        <f t="shared" si="63"/>
        <v>-9.3891553133525374</v>
      </c>
      <c r="S244" s="20">
        <f t="shared" si="68"/>
        <v>73.749066540175392</v>
      </c>
      <c r="T244" s="1">
        <f t="shared" si="69"/>
        <v>0</v>
      </c>
    </row>
    <row r="245" spans="1:20" x14ac:dyDescent="0.25">
      <c r="A245" s="20">
        <f t="shared" si="64"/>
        <v>2.3999999999999928</v>
      </c>
      <c r="C245" s="20">
        <f t="shared" si="54"/>
        <v>33.259337848809515</v>
      </c>
      <c r="D245" s="20">
        <f t="shared" si="57"/>
        <v>0.23760965728366434</v>
      </c>
      <c r="E245" s="20">
        <f t="shared" si="58"/>
        <v>5.1732997449088689</v>
      </c>
      <c r="F245" s="20">
        <f t="shared" si="59"/>
        <v>0.19959211211827807</v>
      </c>
      <c r="G245" s="20">
        <f t="shared" si="60"/>
        <v>4.3455717857234504</v>
      </c>
      <c r="I245" s="20">
        <f t="shared" si="55"/>
        <v>0.63568579700294647</v>
      </c>
      <c r="K245" s="20">
        <f t="shared" si="65"/>
        <v>26.762615372536391</v>
      </c>
      <c r="L245" s="20">
        <f t="shared" si="56"/>
        <v>-0.30969982850577349</v>
      </c>
      <c r="M245" s="20">
        <f t="shared" si="61"/>
        <v>-6.7428658503325387</v>
      </c>
      <c r="N245" s="1">
        <f t="shared" si="66"/>
        <v>101.05908982200404</v>
      </c>
      <c r="P245" s="20">
        <f t="shared" si="67"/>
        <v>19.747049717943487</v>
      </c>
      <c r="Q245" s="20">
        <f t="shared" si="62"/>
        <v>-0.43104443219384636</v>
      </c>
      <c r="R245" s="20">
        <f t="shared" si="63"/>
        <v>-9.3848123708653688</v>
      </c>
      <c r="S245" s="20">
        <f t="shared" si="68"/>
        <v>73.947006495120505</v>
      </c>
      <c r="T245" s="1">
        <f t="shared" si="69"/>
        <v>0</v>
      </c>
    </row>
    <row r="246" spans="1:20" x14ac:dyDescent="0.25">
      <c r="A246" s="20">
        <f t="shared" si="64"/>
        <v>2.4099999999999926</v>
      </c>
      <c r="C246" s="20">
        <f t="shared" si="54"/>
        <v>33.149378977602616</v>
      </c>
      <c r="D246" s="20">
        <f t="shared" si="57"/>
        <v>0.23604112936909069</v>
      </c>
      <c r="E246" s="20">
        <f t="shared" si="58"/>
        <v>5.139149343981944</v>
      </c>
      <c r="F246" s="20">
        <f t="shared" si="59"/>
        <v>0.19827454867003619</v>
      </c>
      <c r="G246" s="20">
        <f t="shared" si="60"/>
        <v>4.3168854489448334</v>
      </c>
      <c r="I246" s="20">
        <f t="shared" si="55"/>
        <v>0.63461543315753532</v>
      </c>
      <c r="K246" s="20">
        <f t="shared" si="65"/>
        <v>26.695186714033067</v>
      </c>
      <c r="L246" s="20">
        <f t="shared" si="56"/>
        <v>-0.30763447193407345</v>
      </c>
      <c r="M246" s="20">
        <f t="shared" si="61"/>
        <v>-6.6978983656449698</v>
      </c>
      <c r="N246" s="1">
        <f t="shared" si="66"/>
        <v>101.32637883243689</v>
      </c>
      <c r="P246" s="20">
        <f t="shared" si="67"/>
        <v>19.653201594234833</v>
      </c>
      <c r="Q246" s="20">
        <f t="shared" si="62"/>
        <v>-0.43084405566611572</v>
      </c>
      <c r="R246" s="20">
        <f t="shared" si="63"/>
        <v>-9.3804497205773067</v>
      </c>
      <c r="S246" s="20">
        <f t="shared" si="68"/>
        <v>74.1440077516814</v>
      </c>
      <c r="T246" s="1">
        <f t="shared" si="69"/>
        <v>0</v>
      </c>
    </row>
    <row r="247" spans="1:20" x14ac:dyDescent="0.25">
      <c r="A247" s="20">
        <f t="shared" si="64"/>
        <v>2.4199999999999924</v>
      </c>
      <c r="C247" s="20">
        <f t="shared" si="54"/>
        <v>33.039846575481519</v>
      </c>
      <c r="D247" s="20">
        <f t="shared" si="57"/>
        <v>0.2344838490239676</v>
      </c>
      <c r="E247" s="20">
        <f t="shared" si="58"/>
        <v>5.1052438280855128</v>
      </c>
      <c r="F247" s="20">
        <f t="shared" si="59"/>
        <v>0.19696643318013279</v>
      </c>
      <c r="G247" s="20">
        <f t="shared" si="60"/>
        <v>4.2884048155918313</v>
      </c>
      <c r="I247" s="20">
        <f t="shared" si="55"/>
        <v>0.63353095299038931</v>
      </c>
      <c r="K247" s="20">
        <f t="shared" si="65"/>
        <v>26.628207730376616</v>
      </c>
      <c r="L247" s="20">
        <f t="shared" si="56"/>
        <v>-0.30558342029580055</v>
      </c>
      <c r="M247" s="20">
        <f t="shared" si="61"/>
        <v>-6.653242331717844</v>
      </c>
      <c r="N247" s="1">
        <f t="shared" si="66"/>
        <v>101.59299580465894</v>
      </c>
      <c r="P247" s="20">
        <f t="shared" si="67"/>
        <v>19.559397097029059</v>
      </c>
      <c r="Q247" s="20">
        <f t="shared" si="62"/>
        <v>-0.43064280845767566</v>
      </c>
      <c r="R247" s="20">
        <f t="shared" si="63"/>
        <v>-9.3760681136006028</v>
      </c>
      <c r="S247" s="20">
        <f t="shared" si="68"/>
        <v>74.340070745137723</v>
      </c>
      <c r="T247" s="1">
        <f t="shared" si="69"/>
        <v>0</v>
      </c>
    </row>
    <row r="248" spans="1:20" x14ac:dyDescent="0.25">
      <c r="A248" s="20">
        <f t="shared" si="64"/>
        <v>2.4299999999999922</v>
      </c>
      <c r="C248" s="20">
        <f t="shared" si="54"/>
        <v>32.930739381213307</v>
      </c>
      <c r="D248" s="20">
        <f t="shared" si="57"/>
        <v>0.23293773820244357</v>
      </c>
      <c r="E248" s="20">
        <f t="shared" si="58"/>
        <v>5.0715814979848375</v>
      </c>
      <c r="F248" s="20">
        <f t="shared" si="59"/>
        <v>0.1956677000900526</v>
      </c>
      <c r="G248" s="20">
        <f t="shared" si="60"/>
        <v>4.2601284583072632</v>
      </c>
      <c r="I248" s="20">
        <f t="shared" si="55"/>
        <v>0.63243231709975456</v>
      </c>
      <c r="K248" s="20">
        <f t="shared" si="65"/>
        <v>26.561675307059438</v>
      </c>
      <c r="L248" s="20">
        <f t="shared" si="56"/>
        <v>-0.30354656667331703</v>
      </c>
      <c r="M248" s="20">
        <f t="shared" si="61"/>
        <v>-6.6088954207123241</v>
      </c>
      <c r="N248" s="1">
        <f t="shared" si="66"/>
        <v>101.85894521984612</v>
      </c>
      <c r="P248" s="20">
        <f t="shared" si="67"/>
        <v>19.465636415893051</v>
      </c>
      <c r="Q248" s="20">
        <f t="shared" si="62"/>
        <v>-0.43044072445084491</v>
      </c>
      <c r="R248" s="20">
        <f t="shared" si="63"/>
        <v>-9.3716682876299782</v>
      </c>
      <c r="S248" s="20">
        <f t="shared" si="68"/>
        <v>74.535195912702335</v>
      </c>
      <c r="T248" s="1">
        <f t="shared" si="69"/>
        <v>0</v>
      </c>
    </row>
    <row r="249" spans="1:20" x14ac:dyDescent="0.25">
      <c r="A249" s="20">
        <f t="shared" si="64"/>
        <v>2.439999999999992</v>
      </c>
      <c r="C249" s="20">
        <f t="shared" si="54"/>
        <v>32.82205615624801</v>
      </c>
      <c r="D249" s="20">
        <f t="shared" si="57"/>
        <v>0.2314027196484563</v>
      </c>
      <c r="E249" s="20">
        <f t="shared" si="58"/>
        <v>5.0381606716406768</v>
      </c>
      <c r="F249" s="20">
        <f t="shared" si="59"/>
        <v>0.19437828450470329</v>
      </c>
      <c r="G249" s="20">
        <f t="shared" si="60"/>
        <v>4.2320549641781691</v>
      </c>
      <c r="I249" s="20">
        <f t="shared" si="55"/>
        <v>0.63131948580745834</v>
      </c>
      <c r="K249" s="20">
        <f t="shared" si="65"/>
        <v>26.495586352852314</v>
      </c>
      <c r="L249" s="20">
        <f t="shared" si="56"/>
        <v>-0.30152380517797733</v>
      </c>
      <c r="M249" s="20">
        <f t="shared" si="61"/>
        <v>-6.5648553271930625</v>
      </c>
      <c r="N249" s="1">
        <f t="shared" si="66"/>
        <v>102.12423152814567</v>
      </c>
      <c r="P249" s="20">
        <f t="shared" si="67"/>
        <v>19.371919733016753</v>
      </c>
      <c r="Q249" s="20">
        <f t="shared" si="62"/>
        <v>-0.43023783691978917</v>
      </c>
      <c r="R249" s="20">
        <f t="shared" si="63"/>
        <v>-9.3672509671192952</v>
      </c>
      <c r="S249" s="20">
        <f t="shared" si="68"/>
        <v>74.729383693446877</v>
      </c>
      <c r="T249" s="1">
        <f t="shared" si="69"/>
        <v>0</v>
      </c>
    </row>
    <row r="250" spans="1:20" x14ac:dyDescent="0.25">
      <c r="A250" s="20">
        <f t="shared" si="64"/>
        <v>2.4499999999999917</v>
      </c>
      <c r="C250" s="20">
        <f t="shared" si="54"/>
        <v>32.713795684605586</v>
      </c>
      <c r="D250" s="20">
        <f t="shared" si="57"/>
        <v>0.22987871688656941</v>
      </c>
      <c r="E250" s="20">
        <f t="shared" si="58"/>
        <v>5.0049796840097844</v>
      </c>
      <c r="F250" s="20">
        <f t="shared" si="59"/>
        <v>0.19309812218471831</v>
      </c>
      <c r="G250" s="20">
        <f t="shared" si="60"/>
        <v>4.2041829345682196</v>
      </c>
      <c r="I250" s="20">
        <f t="shared" si="55"/>
        <v>0.63019241916291469</v>
      </c>
      <c r="K250" s="20">
        <f t="shared" si="65"/>
        <v>26.429937799580383</v>
      </c>
      <c r="L250" s="20">
        <f t="shared" si="56"/>
        <v>-0.29951503093879828</v>
      </c>
      <c r="M250" s="20">
        <f t="shared" si="61"/>
        <v>-6.5211197678815216</v>
      </c>
      <c r="N250" s="1">
        <f t="shared" si="66"/>
        <v>102.38885914890784</v>
      </c>
      <c r="P250" s="20">
        <f t="shared" si="67"/>
        <v>19.278247223345559</v>
      </c>
      <c r="Q250" s="20">
        <f t="shared" si="62"/>
        <v>-0.43003417853849013</v>
      </c>
      <c r="R250" s="20">
        <f t="shared" si="63"/>
        <v>-9.362816863455043</v>
      </c>
      <c r="S250" s="20">
        <f t="shared" si="68"/>
        <v>74.922634528228684</v>
      </c>
      <c r="T250" s="1">
        <f t="shared" si="69"/>
        <v>0</v>
      </c>
    </row>
    <row r="251" spans="1:20" x14ac:dyDescent="0.25">
      <c r="A251" s="20">
        <f t="shared" si="64"/>
        <v>2.4599999999999915</v>
      </c>
      <c r="C251" s="20">
        <f t="shared" si="54"/>
        <v>32.60595677276465</v>
      </c>
      <c r="D251" s="20">
        <f t="shared" si="57"/>
        <v>0.22836565421293278</v>
      </c>
      <c r="E251" s="20">
        <f t="shared" si="58"/>
        <v>4.9720368868480902</v>
      </c>
      <c r="F251" s="20">
        <f t="shared" si="59"/>
        <v>0.19182714953886354</v>
      </c>
      <c r="G251" s="20">
        <f t="shared" si="60"/>
        <v>4.1765109849523956</v>
      </c>
      <c r="I251" s="20">
        <f t="shared" si="55"/>
        <v>0.62905107694724305</v>
      </c>
      <c r="K251" s="20">
        <f t="shared" si="65"/>
        <v>26.36472660190157</v>
      </c>
      <c r="L251" s="20">
        <f t="shared" si="56"/>
        <v>-0.29752014009126115</v>
      </c>
      <c r="M251" s="20">
        <f t="shared" si="61"/>
        <v>-6.4776864814121744</v>
      </c>
      <c r="N251" s="1">
        <f t="shared" si="66"/>
        <v>102.65283247091524</v>
      </c>
      <c r="P251" s="20">
        <f t="shared" si="67"/>
        <v>19.18461905471101</v>
      </c>
      <c r="Q251" s="20">
        <f t="shared" si="62"/>
        <v>-0.42982978138857236</v>
      </c>
      <c r="R251" s="20">
        <f t="shared" si="63"/>
        <v>-9.3583666751267671</v>
      </c>
      <c r="S251" s="20">
        <f t="shared" si="68"/>
        <v>75.114948859618977</v>
      </c>
      <c r="T251" s="1">
        <f t="shared" si="69"/>
        <v>0</v>
      </c>
    </row>
    <row r="252" spans="1:20" x14ac:dyDescent="0.25">
      <c r="A252" s="20">
        <f t="shared" si="64"/>
        <v>2.4699999999999913</v>
      </c>
      <c r="C252" s="20">
        <f t="shared" si="54"/>
        <v>32.498538249552972</v>
      </c>
      <c r="D252" s="20">
        <f t="shared" si="57"/>
        <v>0.22686345668636687</v>
      </c>
      <c r="E252" s="20">
        <f t="shared" si="58"/>
        <v>4.939330648516588</v>
      </c>
      <c r="F252" s="20">
        <f t="shared" si="59"/>
        <v>0.19056530361654819</v>
      </c>
      <c r="G252" s="20">
        <f t="shared" si="60"/>
        <v>4.1490377447539339</v>
      </c>
      <c r="I252" s="20">
        <f t="shared" si="55"/>
        <v>0.62789541867750165</v>
      </c>
      <c r="K252" s="20">
        <f t="shared" si="65"/>
        <v>26.299949737087449</v>
      </c>
      <c r="L252" s="20">
        <f t="shared" si="56"/>
        <v>-0.29553902976624785</v>
      </c>
      <c r="M252" s="20">
        <f t="shared" si="61"/>
        <v>-6.4345532280916142</v>
      </c>
      <c r="N252" s="1">
        <f t="shared" si="66"/>
        <v>102.91615585261019</v>
      </c>
      <c r="P252" s="20">
        <f t="shared" si="67"/>
        <v>19.091035387959742</v>
      </c>
      <c r="Q252" s="20">
        <f t="shared" si="62"/>
        <v>-0.42962467696699058</v>
      </c>
      <c r="R252" s="20">
        <f t="shared" si="63"/>
        <v>-9.3539010878944175</v>
      </c>
      <c r="S252" s="20">
        <f t="shared" si="68"/>
        <v>75.306327131832333</v>
      </c>
      <c r="T252" s="1">
        <f t="shared" si="69"/>
        <v>0</v>
      </c>
    </row>
    <row r="253" spans="1:20" x14ac:dyDescent="0.25">
      <c r="A253" s="20">
        <f t="shared" si="64"/>
        <v>2.4799999999999911</v>
      </c>
      <c r="C253" s="20">
        <f t="shared" si="54"/>
        <v>32.391538966039576</v>
      </c>
      <c r="D253" s="20">
        <f t="shared" si="57"/>
        <v>0.22537205011956565</v>
      </c>
      <c r="E253" s="20">
        <f t="shared" si="58"/>
        <v>4.9068593537898035</v>
      </c>
      <c r="F253" s="20">
        <f t="shared" si="59"/>
        <v>0.18931252210043517</v>
      </c>
      <c r="G253" s="20">
        <f t="shared" si="60"/>
        <v>4.1217618571834356</v>
      </c>
      <c r="I253" s="20">
        <f t="shared" si="55"/>
        <v>0.62672540361103712</v>
      </c>
      <c r="K253" s="20">
        <f t="shared" si="65"/>
        <v>26.235604204806531</v>
      </c>
      <c r="L253" s="20">
        <f t="shared" si="56"/>
        <v>-0.29357159807910349</v>
      </c>
      <c r="M253" s="20">
        <f t="shared" si="61"/>
        <v>-6.3917177896604285</v>
      </c>
      <c r="N253" s="1">
        <f t="shared" si="66"/>
        <v>103.17883362231966</v>
      </c>
      <c r="P253" s="20">
        <f t="shared" si="67"/>
        <v>18.997496377080797</v>
      </c>
      <c r="Q253" s="20">
        <f t="shared" si="62"/>
        <v>-0.42941889619358009</v>
      </c>
      <c r="R253" s="20">
        <f t="shared" si="63"/>
        <v>-9.3494207749527565</v>
      </c>
      <c r="S253" s="20">
        <f t="shared" si="68"/>
        <v>75.496769790657538</v>
      </c>
      <c r="T253" s="1">
        <f t="shared" si="69"/>
        <v>0</v>
      </c>
    </row>
    <row r="254" spans="1:20" x14ac:dyDescent="0.25">
      <c r="A254" s="20">
        <f t="shared" si="64"/>
        <v>2.4899999999999909</v>
      </c>
      <c r="C254" s="20">
        <f t="shared" ref="C254:C300" si="70">SQRT((K254^2)+(P254^2))</f>
        <v>32.28495779542861</v>
      </c>
      <c r="D254" s="20">
        <f t="shared" si="57"/>
        <v>0.22389136107042112</v>
      </c>
      <c r="E254" s="20">
        <f t="shared" si="58"/>
        <v>4.8746214036669091</v>
      </c>
      <c r="F254" s="20">
        <f t="shared" si="59"/>
        <v>0.18806874329915374</v>
      </c>
      <c r="G254" s="20">
        <f t="shared" si="60"/>
        <v>4.0946819790802031</v>
      </c>
      <c r="I254" s="20">
        <f t="shared" ref="I254:I300" si="71">ATAN(P254/K254)</f>
        <v>0.62554099074995395</v>
      </c>
      <c r="K254" s="20">
        <f t="shared" si="65"/>
        <v>26.171687026909925</v>
      </c>
      <c r="L254" s="20">
        <f t="shared" ref="L254:L300" si="72">-(D254*COS(I254))-(F254*SIN(I254))</f>
        <v>-0.2916177441188309</v>
      </c>
      <c r="M254" s="20">
        <f t="shared" si="61"/>
        <v>-6.3491779690579344</v>
      </c>
      <c r="N254" s="1">
        <f t="shared" si="66"/>
        <v>103.44087007847824</v>
      </c>
      <c r="P254" s="20">
        <f t="shared" si="67"/>
        <v>18.904002169331267</v>
      </c>
      <c r="Q254" s="20">
        <f t="shared" si="62"/>
        <v>-0.42921246941847169</v>
      </c>
      <c r="R254" s="20">
        <f t="shared" si="63"/>
        <v>-9.3449263970927863</v>
      </c>
      <c r="S254" s="20">
        <f t="shared" si="68"/>
        <v>75.6862772833896</v>
      </c>
      <c r="T254" s="1">
        <f t="shared" si="69"/>
        <v>0</v>
      </c>
    </row>
    <row r="255" spans="1:20" x14ac:dyDescent="0.25">
      <c r="A255" s="20">
        <f t="shared" si="64"/>
        <v>2.4999999999999907</v>
      </c>
      <c r="C255" s="20">
        <f t="shared" si="70"/>
        <v>32.178793632954715</v>
      </c>
      <c r="D255" s="20">
        <f t="shared" si="57"/>
        <v>0.22242131683346206</v>
      </c>
      <c r="E255" s="20">
        <f t="shared" si="58"/>
        <v>4.8426152151853268</v>
      </c>
      <c r="F255" s="20">
        <f t="shared" si="59"/>
        <v>0.18683390614010811</v>
      </c>
      <c r="G255" s="20">
        <f t="shared" si="60"/>
        <v>4.0677967807556739</v>
      </c>
      <c r="I255" s="20">
        <f t="shared" si="71"/>
        <v>0.62434213884570633</v>
      </c>
      <c r="K255" s="20">
        <f t="shared" si="65"/>
        <v>26.108195247219346</v>
      </c>
      <c r="L255" s="20">
        <f t="shared" si="72"/>
        <v>-0.28967736793740639</v>
      </c>
      <c r="M255" s="20">
        <f t="shared" si="61"/>
        <v>-6.3069315901895582</v>
      </c>
      <c r="N255" s="1">
        <f t="shared" si="66"/>
        <v>103.70226948984889</v>
      </c>
      <c r="P255" s="20">
        <f t="shared" si="67"/>
        <v>18.810552905360339</v>
      </c>
      <c r="Q255" s="20">
        <f t="shared" si="62"/>
        <v>-0.42900542642937362</v>
      </c>
      <c r="R255" s="20">
        <f t="shared" si="63"/>
        <v>-9.3404186028603018</v>
      </c>
      <c r="S255" s="20">
        <f t="shared" si="68"/>
        <v>75.874850058763059</v>
      </c>
      <c r="T255" s="1">
        <f t="shared" si="69"/>
        <v>0</v>
      </c>
    </row>
    <row r="256" spans="1:20" x14ac:dyDescent="0.25">
      <c r="A256" s="20">
        <f t="shared" si="64"/>
        <v>2.5099999999999905</v>
      </c>
      <c r="C256" s="20">
        <f t="shared" si="70"/>
        <v>32.073045395780028</v>
      </c>
      <c r="D256" s="20">
        <f t="shared" si="57"/>
        <v>0.22096184543141004</v>
      </c>
      <c r="E256" s="20">
        <f t="shared" si="58"/>
        <v>4.8108392212368836</v>
      </c>
      <c r="F256" s="20">
        <f t="shared" si="59"/>
        <v>0.18560795016238443</v>
      </c>
      <c r="G256" s="20">
        <f t="shared" si="60"/>
        <v>4.0411049458389821</v>
      </c>
      <c r="I256" s="20">
        <f t="shared" si="71"/>
        <v>0.62312880640381518</v>
      </c>
      <c r="K256" s="20">
        <f t="shared" si="65"/>
        <v>26.04512593131745</v>
      </c>
      <c r="L256" s="20">
        <f t="shared" si="72"/>
        <v>-0.28775037053922348</v>
      </c>
      <c r="M256" s="20">
        <f t="shared" si="61"/>
        <v>-6.2649764976970062</v>
      </c>
      <c r="N256" s="1">
        <f t="shared" si="66"/>
        <v>103.96303609574157</v>
      </c>
      <c r="P256" s="20">
        <f t="shared" si="67"/>
        <v>18.717148719331735</v>
      </c>
      <c r="Q256" s="20">
        <f t="shared" si="62"/>
        <v>-0.42879779645872435</v>
      </c>
      <c r="R256" s="20">
        <f t="shared" si="63"/>
        <v>-9.3358980287116129</v>
      </c>
      <c r="S256" s="20">
        <f t="shared" si="68"/>
        <v>76.062488566886515</v>
      </c>
      <c r="T256" s="1">
        <f t="shared" si="69"/>
        <v>0</v>
      </c>
    </row>
    <row r="257" spans="1:20" x14ac:dyDescent="0.25">
      <c r="A257" s="20">
        <f t="shared" si="64"/>
        <v>2.5199999999999902</v>
      </c>
      <c r="C257" s="20">
        <f t="shared" si="70"/>
        <v>31.967712022892638</v>
      </c>
      <c r="D257" s="20">
        <f t="shared" si="57"/>
        <v>0.2195128756068466</v>
      </c>
      <c r="E257" s="20">
        <f t="shared" si="58"/>
        <v>4.779291870386384</v>
      </c>
      <c r="F257" s="20">
        <f t="shared" si="59"/>
        <v>0.18439081550975114</v>
      </c>
      <c r="G257" s="20">
        <f t="shared" si="60"/>
        <v>4.0146051711245621</v>
      </c>
      <c r="I257" s="20">
        <f t="shared" si="71"/>
        <v>0.62190095168871218</v>
      </c>
      <c r="K257" s="20">
        <f t="shared" si="65"/>
        <v>25.982476166340479</v>
      </c>
      <c r="L257" s="20">
        <f t="shared" si="72"/>
        <v>-0.2858366538706546</v>
      </c>
      <c r="M257" s="20">
        <f t="shared" si="61"/>
        <v>-6.2233105567309952</v>
      </c>
      <c r="N257" s="1">
        <f t="shared" si="66"/>
        <v>104.22317410622986</v>
      </c>
      <c r="P257" s="20">
        <f t="shared" si="67"/>
        <v>18.623789739044618</v>
      </c>
      <c r="Q257" s="20">
        <f t="shared" si="62"/>
        <v>-0.42858960819071562</v>
      </c>
      <c r="R257" s="20">
        <f t="shared" si="63"/>
        <v>-9.3313652991664622</v>
      </c>
      <c r="S257" s="20">
        <f t="shared" si="68"/>
        <v>76.249193259178384</v>
      </c>
      <c r="T257" s="1">
        <f t="shared" si="69"/>
        <v>0</v>
      </c>
    </row>
    <row r="258" spans="1:20" x14ac:dyDescent="0.25">
      <c r="A258" s="20">
        <f t="shared" si="64"/>
        <v>2.52999999999999</v>
      </c>
      <c r="C258" s="20">
        <f t="shared" si="70"/>
        <v>31.862792475006643</v>
      </c>
      <c r="D258" s="20">
        <f t="shared" si="57"/>
        <v>0.21807433681399421</v>
      </c>
      <c r="E258" s="20">
        <f t="shared" si="58"/>
        <v>4.7479716266926673</v>
      </c>
      <c r="F258" s="20">
        <f t="shared" si="59"/>
        <v>0.18318244292375513</v>
      </c>
      <c r="G258" s="20">
        <f t="shared" si="60"/>
        <v>3.9882961664218404</v>
      </c>
      <c r="I258" s="20">
        <f t="shared" si="71"/>
        <v>0.62065853272871485</v>
      </c>
      <c r="K258" s="20">
        <f t="shared" si="65"/>
        <v>25.920243060773171</v>
      </c>
      <c r="L258" s="20">
        <f t="shared" si="72"/>
        <v>-0.28393612080973651</v>
      </c>
      <c r="M258" s="20">
        <f t="shared" si="61"/>
        <v>-6.1819316527266821</v>
      </c>
      <c r="N258" s="1">
        <f t="shared" si="66"/>
        <v>104.48268770236544</v>
      </c>
      <c r="P258" s="20">
        <f t="shared" si="67"/>
        <v>18.530476086052953</v>
      </c>
      <c r="Q258" s="20">
        <f t="shared" si="62"/>
        <v>-0.42838088976819044</v>
      </c>
      <c r="R258" s="20">
        <f t="shared" si="63"/>
        <v>-9.326821026958207</v>
      </c>
      <c r="S258" s="20">
        <f t="shared" si="68"/>
        <v>76.43496458830387</v>
      </c>
      <c r="T258" s="1">
        <f t="shared" si="69"/>
        <v>0</v>
      </c>
    </row>
    <row r="259" spans="1:20" x14ac:dyDescent="0.25">
      <c r="A259" s="20">
        <f t="shared" si="64"/>
        <v>2.5399999999999898</v>
      </c>
      <c r="C259" s="20">
        <f t="shared" si="70"/>
        <v>31.758285734463517</v>
      </c>
      <c r="D259" s="20">
        <f t="shared" si="57"/>
        <v>0.21664615921060484</v>
      </c>
      <c r="E259" s="20">
        <f t="shared" si="58"/>
        <v>4.7168769695320023</v>
      </c>
      <c r="F259" s="20">
        <f t="shared" si="59"/>
        <v>0.18198277373690808</v>
      </c>
      <c r="G259" s="20">
        <f t="shared" si="60"/>
        <v>3.9621766544068819</v>
      </c>
      <c r="I259" s="20">
        <f t="shared" si="71"/>
        <v>0.61940150732113441</v>
      </c>
      <c r="K259" s="20">
        <f t="shared" si="65"/>
        <v>25.858423744245904</v>
      </c>
      <c r="L259" s="20">
        <f t="shared" si="72"/>
        <v>-0.28204867515597098</v>
      </c>
      <c r="M259" s="20">
        <f t="shared" si="61"/>
        <v>-6.1408376911816021</v>
      </c>
      <c r="N259" s="1">
        <f t="shared" si="66"/>
        <v>104.74158103639053</v>
      </c>
      <c r="P259" s="20">
        <f t="shared" si="67"/>
        <v>18.437207875783372</v>
      </c>
      <c r="Q259" s="20">
        <f t="shared" si="62"/>
        <v>-0.42817166879941626</v>
      </c>
      <c r="R259" s="20">
        <f t="shared" si="63"/>
        <v>-9.3222658131812821</v>
      </c>
      <c r="S259" s="20">
        <f t="shared" si="68"/>
        <v>76.619803008113053</v>
      </c>
      <c r="T259" s="1">
        <f t="shared" si="69"/>
        <v>0</v>
      </c>
    </row>
    <row r="260" spans="1:20" x14ac:dyDescent="0.25">
      <c r="A260" s="20">
        <f t="shared" si="64"/>
        <v>2.5499999999999896</v>
      </c>
      <c r="C260" s="20">
        <f t="shared" si="70"/>
        <v>31.654190805134949</v>
      </c>
      <c r="D260" s="20">
        <f t="shared" si="57"/>
        <v>0.21522827364995756</v>
      </c>
      <c r="E260" s="20">
        <f t="shared" si="58"/>
        <v>4.6860063934238525</v>
      </c>
      <c r="F260" s="20">
        <f t="shared" si="59"/>
        <v>0.18079174986596436</v>
      </c>
      <c r="G260" s="20">
        <f t="shared" si="60"/>
        <v>3.9362453704760365</v>
      </c>
      <c r="I260" s="20">
        <f t="shared" si="71"/>
        <v>0.61812983303752023</v>
      </c>
      <c r="K260" s="20">
        <f t="shared" si="65"/>
        <v>25.797015367334087</v>
      </c>
      <c r="L260" s="20">
        <f t="shared" si="72"/>
        <v>-0.28017422162024341</v>
      </c>
      <c r="M260" s="20">
        <f t="shared" si="61"/>
        <v>-6.1000265974361731</v>
      </c>
      <c r="N260" s="1">
        <f t="shared" si="66"/>
        <v>104.99985823194844</v>
      </c>
      <c r="P260" s="20">
        <f t="shared" si="67"/>
        <v>18.343985217651561</v>
      </c>
      <c r="Q260" s="20">
        <f t="shared" si="62"/>
        <v>-0.42796197236473765</v>
      </c>
      <c r="R260" s="20">
        <f t="shared" si="63"/>
        <v>-9.3177002474360471</v>
      </c>
      <c r="S260" s="20">
        <f t="shared" si="68"/>
        <v>76.803708973580228</v>
      </c>
      <c r="T260" s="1">
        <f t="shared" si="69"/>
        <v>0</v>
      </c>
    </row>
    <row r="261" spans="1:20" x14ac:dyDescent="0.25">
      <c r="A261" s="20">
        <f t="shared" si="64"/>
        <v>2.5599999999999894</v>
      </c>
      <c r="C261" s="20">
        <f t="shared" si="70"/>
        <v>31.550506712327071</v>
      </c>
      <c r="D261" s="20">
        <f t="shared" ref="D261:D324" si="73">0.5*$W$5*$W$10*$W$9*C261^2</f>
        <v>0.21382061167296279</v>
      </c>
      <c r="E261" s="20">
        <f t="shared" ref="E261:E324" si="74">D261/$W$4</f>
        <v>4.6553584078589765</v>
      </c>
      <c r="F261" s="20">
        <f t="shared" ref="F261:F324" si="75">0.5*$W$6*$W$10*$W$9*C261^2</f>
        <v>0.17960931380528875</v>
      </c>
      <c r="G261" s="20">
        <f t="shared" ref="G261:G324" si="76">F261/$W$4</f>
        <v>3.9105010626015404</v>
      </c>
      <c r="I261" s="20">
        <f t="shared" si="71"/>
        <v>0.6168434672290416</v>
      </c>
      <c r="K261" s="20">
        <f t="shared" si="65"/>
        <v>25.736015101359726</v>
      </c>
      <c r="L261" s="20">
        <f t="shared" si="72"/>
        <v>-0.27831266581485575</v>
      </c>
      <c r="M261" s="20">
        <f t="shared" ref="M261:M324" si="77">L261/$W$4</f>
        <v>-6.0594963164566895</v>
      </c>
      <c r="N261" s="1">
        <f t="shared" si="66"/>
        <v>105.2575233842919</v>
      </c>
      <c r="P261" s="20">
        <f t="shared" si="67"/>
        <v>18.250808215177202</v>
      </c>
      <c r="Q261" s="20">
        <f t="shared" ref="Q261:Q324" si="78">-(D261*SIN(I261))+(F261*COS(I261))-($W$4*9.81)</f>
        <v>-0.42775182702310727</v>
      </c>
      <c r="R261" s="20">
        <f t="shared" ref="R261:R324" si="79">Q261/$W$4</f>
        <v>-9.3131249079709839</v>
      </c>
      <c r="S261" s="20">
        <f t="shared" si="68"/>
        <v>76.986682940744373</v>
      </c>
      <c r="T261" s="1">
        <f t="shared" si="69"/>
        <v>0</v>
      </c>
    </row>
    <row r="262" spans="1:20" x14ac:dyDescent="0.25">
      <c r="A262" s="20">
        <f t="shared" ref="A262:A325" si="80">A261+$W$18</f>
        <v>2.5699999999999892</v>
      </c>
      <c r="C262" s="20">
        <f t="shared" si="70"/>
        <v>31.447232502685903</v>
      </c>
      <c r="D262" s="20">
        <f t="shared" si="73"/>
        <v>0.21242310550036983</v>
      </c>
      <c r="E262" s="20">
        <f t="shared" si="74"/>
        <v>4.6249315371297595</v>
      </c>
      <c r="F262" s="20">
        <f t="shared" si="75"/>
        <v>0.17843540862031065</v>
      </c>
      <c r="G262" s="20">
        <f t="shared" si="76"/>
        <v>3.8849424911889976</v>
      </c>
      <c r="I262" s="20">
        <f t="shared" si="71"/>
        <v>0.6155423670320137</v>
      </c>
      <c r="K262" s="20">
        <f t="shared" ref="K262:K325" si="81">K261+(M261*$W$18)</f>
        <v>25.675420138195157</v>
      </c>
      <c r="L262" s="20">
        <f t="shared" si="72"/>
        <v>-0.27646391424367162</v>
      </c>
      <c r="M262" s="20">
        <f t="shared" si="77"/>
        <v>-6.0192448126207623</v>
      </c>
      <c r="N262" s="1">
        <f t="shared" ref="N262:N325" si="82">N261+(K261*$W$18)+(0.5*M261*$W$18^2)</f>
        <v>105.51458056048968</v>
      </c>
      <c r="P262" s="20">
        <f t="shared" ref="P262:P325" si="83">P261+(R261*$W$18)</f>
        <v>18.15767696609749</v>
      </c>
      <c r="Q262" s="20">
        <f t="shared" si="78"/>
        <v>-0.42754125881850075</v>
      </c>
      <c r="R262" s="20">
        <f t="shared" si="79"/>
        <v>-9.3085403618223541</v>
      </c>
      <c r="S262" s="20">
        <f t="shared" ref="S262:S325" si="84">S261+(P261*$W$18)+(0.5*R261*$W$18^2)</f>
        <v>77.168725366650747</v>
      </c>
      <c r="T262" s="1">
        <f t="shared" si="69"/>
        <v>0</v>
      </c>
    </row>
    <row r="263" spans="1:20" x14ac:dyDescent="0.25">
      <c r="A263" s="20">
        <f t="shared" si="80"/>
        <v>2.579999999999989</v>
      </c>
      <c r="C263" s="20">
        <f t="shared" si="70"/>
        <v>31.344367244104198</v>
      </c>
      <c r="D263" s="20">
        <f t="shared" si="73"/>
        <v>0.21103568802507899</v>
      </c>
      <c r="E263" s="20">
        <f t="shared" si="74"/>
        <v>4.5947243201628352</v>
      </c>
      <c r="F263" s="20">
        <f t="shared" si="75"/>
        <v>0.17726997794106636</v>
      </c>
      <c r="G263" s="20">
        <f t="shared" si="76"/>
        <v>3.8595684289367811</v>
      </c>
      <c r="I263" s="20">
        <f t="shared" si="71"/>
        <v>0.61422648937356572</v>
      </c>
      <c r="K263" s="20">
        <f t="shared" si="81"/>
        <v>25.615227690068949</v>
      </c>
      <c r="L263" s="20">
        <f t="shared" si="72"/>
        <v>-0.27462787429237323</v>
      </c>
      <c r="M263" s="20">
        <f t="shared" si="77"/>
        <v>-5.979270069505187</v>
      </c>
      <c r="N263" s="1">
        <f t="shared" si="82"/>
        <v>105.771033799631</v>
      </c>
      <c r="P263" s="20">
        <f t="shared" si="83"/>
        <v>18.064591562479269</v>
      </c>
      <c r="Q263" s="20">
        <f t="shared" si="78"/>
        <v>-0.42733029328621475</v>
      </c>
      <c r="R263" s="20">
        <f t="shared" si="79"/>
        <v>-9.3039471649513334</v>
      </c>
      <c r="S263" s="20">
        <f t="shared" si="84"/>
        <v>77.349836709293641</v>
      </c>
      <c r="T263" s="1">
        <f t="shared" ref="T263:T326" si="85">IF(AND(S262&gt;0,S263&lt;0),(-1*S262*(N263-N262)/(S263-S262)+N262),0)</f>
        <v>0</v>
      </c>
    </row>
    <row r="264" spans="1:20" x14ac:dyDescent="0.25">
      <c r="A264" s="20">
        <f t="shared" si="80"/>
        <v>2.5899999999999888</v>
      </c>
      <c r="C264" s="20">
        <f t="shared" si="70"/>
        <v>31.241910025629402</v>
      </c>
      <c r="D264" s="20">
        <f t="shared" si="73"/>
        <v>0.20965829280455356</v>
      </c>
      <c r="E264" s="20">
        <f t="shared" si="74"/>
        <v>4.5647353103538766</v>
      </c>
      <c r="F264" s="20">
        <f t="shared" si="75"/>
        <v>0.17611296595582501</v>
      </c>
      <c r="G264" s="20">
        <f t="shared" si="76"/>
        <v>3.8343776606972573</v>
      </c>
      <c r="I264" s="20">
        <f t="shared" si="71"/>
        <v>0.6128957909774575</v>
      </c>
      <c r="K264" s="20">
        <f t="shared" si="81"/>
        <v>25.555434989373897</v>
      </c>
      <c r="L264" s="20">
        <f t="shared" si="72"/>
        <v>-0.27280445421882682</v>
      </c>
      <c r="M264" s="20">
        <f t="shared" si="77"/>
        <v>-5.9395700896761774</v>
      </c>
      <c r="N264" s="1">
        <f t="shared" si="82"/>
        <v>106.02688711302821</v>
      </c>
      <c r="P264" s="20">
        <f t="shared" si="83"/>
        <v>17.971552090829753</v>
      </c>
      <c r="Q264" s="20">
        <f t="shared" si="78"/>
        <v>-0.42711895545905126</v>
      </c>
      <c r="R264" s="20">
        <f t="shared" si="79"/>
        <v>-9.2993458623786474</v>
      </c>
      <c r="S264" s="20">
        <f t="shared" si="84"/>
        <v>77.530017427560182</v>
      </c>
      <c r="T264" s="1">
        <f t="shared" si="85"/>
        <v>0</v>
      </c>
    </row>
    <row r="265" spans="1:20" x14ac:dyDescent="0.25">
      <c r="A265" s="20">
        <f t="shared" si="80"/>
        <v>2.5999999999999885</v>
      </c>
      <c r="C265" s="20">
        <f t="shared" si="70"/>
        <v>31.139859957372899</v>
      </c>
      <c r="D265" s="20">
        <f t="shared" si="73"/>
        <v>0.20829085405333281</v>
      </c>
      <c r="E265" s="20">
        <f t="shared" si="74"/>
        <v>4.5349630754045895</v>
      </c>
      <c r="F265" s="20">
        <f t="shared" si="75"/>
        <v>0.17496431740479956</v>
      </c>
      <c r="G265" s="20">
        <f t="shared" si="76"/>
        <v>3.8093689833398554</v>
      </c>
      <c r="I265" s="20">
        <f t="shared" si="71"/>
        <v>0.61155022837004658</v>
      </c>
      <c r="K265" s="20">
        <f t="shared" si="81"/>
        <v>25.496039288477135</v>
      </c>
      <c r="L265" s="20">
        <f t="shared" si="72"/>
        <v>-0.27099356314355633</v>
      </c>
      <c r="M265" s="20">
        <f t="shared" si="77"/>
        <v>-5.9001428944819585</v>
      </c>
      <c r="N265" s="1">
        <f t="shared" si="82"/>
        <v>106.28214448441747</v>
      </c>
      <c r="P265" s="20">
        <f t="shared" si="83"/>
        <v>17.878558632205966</v>
      </c>
      <c r="Q265" s="20">
        <f t="shared" si="78"/>
        <v>-0.42690726987339056</v>
      </c>
      <c r="R265" s="20">
        <f t="shared" si="79"/>
        <v>-9.2947369883167994</v>
      </c>
      <c r="S265" s="20">
        <f t="shared" si="84"/>
        <v>77.709267981175373</v>
      </c>
      <c r="T265" s="1">
        <f t="shared" si="85"/>
        <v>0</v>
      </c>
    </row>
    <row r="266" spans="1:20" x14ac:dyDescent="0.25">
      <c r="A266" s="20">
        <f t="shared" si="80"/>
        <v>2.6099999999999883</v>
      </c>
      <c r="C266" s="20">
        <f t="shared" si="70"/>
        <v>31.038216170420359</v>
      </c>
      <c r="D266" s="20">
        <f t="shared" si="73"/>
        <v>0.20693330663564244</v>
      </c>
      <c r="E266" s="20">
        <f t="shared" si="74"/>
        <v>4.5054061971618209</v>
      </c>
      <c r="F266" s="20">
        <f t="shared" si="75"/>
        <v>0.17382397757393964</v>
      </c>
      <c r="G266" s="20">
        <f t="shared" si="76"/>
        <v>3.7845412056159295</v>
      </c>
      <c r="I266" s="20">
        <f t="shared" si="71"/>
        <v>0.61018975788640906</v>
      </c>
      <c r="K266" s="20">
        <f t="shared" si="81"/>
        <v>25.437037859532314</v>
      </c>
      <c r="L266" s="20">
        <f t="shared" si="72"/>
        <v>-0.26919511104032284</v>
      </c>
      <c r="M266" s="20">
        <f t="shared" si="77"/>
        <v>-5.8609865238476564</v>
      </c>
      <c r="N266" s="1">
        <f t="shared" si="82"/>
        <v>106.53680987015751</v>
      </c>
      <c r="P266" s="20">
        <f t="shared" si="83"/>
        <v>17.785611262322799</v>
      </c>
      <c r="Q266" s="20">
        <f t="shared" si="78"/>
        <v>-0.42669526057515306</v>
      </c>
      <c r="R266" s="20">
        <f t="shared" si="79"/>
        <v>-9.2901210662998714</v>
      </c>
      <c r="S266" s="20">
        <f t="shared" si="84"/>
        <v>77.887588830648028</v>
      </c>
      <c r="T266" s="1">
        <f t="shared" si="85"/>
        <v>0</v>
      </c>
    </row>
    <row r="267" spans="1:20" x14ac:dyDescent="0.25">
      <c r="A267" s="20">
        <f t="shared" si="80"/>
        <v>2.6199999999999881</v>
      </c>
      <c r="C267" s="20">
        <f t="shared" si="70"/>
        <v>30.936977816743198</v>
      </c>
      <c r="D267" s="20">
        <f t="shared" si="73"/>
        <v>0.20558558605810201</v>
      </c>
      <c r="E267" s="20">
        <f t="shared" si="74"/>
        <v>4.4760632714587851</v>
      </c>
      <c r="F267" s="20">
        <f t="shared" si="75"/>
        <v>0.17269189228880569</v>
      </c>
      <c r="G267" s="20">
        <f t="shared" si="76"/>
        <v>3.7598931480253799</v>
      </c>
      <c r="I267" s="20">
        <f t="shared" si="71"/>
        <v>0.6088143356766158</v>
      </c>
      <c r="K267" s="20">
        <f t="shared" si="81"/>
        <v>25.378427994293837</v>
      </c>
      <c r="L267" s="20">
        <f t="shared" si="72"/>
        <v>-0.2674090087268079</v>
      </c>
      <c r="M267" s="20">
        <f t="shared" si="77"/>
        <v>-5.8220990360724558</v>
      </c>
      <c r="N267" s="1">
        <f t="shared" si="82"/>
        <v>106.79088719942665</v>
      </c>
      <c r="P267" s="20">
        <f t="shared" si="83"/>
        <v>17.692710051659802</v>
      </c>
      <c r="Q267" s="20">
        <f t="shared" si="78"/>
        <v>-0.42648295112565393</v>
      </c>
      <c r="R267" s="20">
        <f t="shared" si="79"/>
        <v>-9.2854986093109932</v>
      </c>
      <c r="S267" s="20">
        <f t="shared" si="84"/>
        <v>78.06498043721794</v>
      </c>
      <c r="T267" s="1">
        <f t="shared" si="85"/>
        <v>0</v>
      </c>
    </row>
    <row r="268" spans="1:20" x14ac:dyDescent="0.25">
      <c r="A268" s="20">
        <f t="shared" si="80"/>
        <v>2.6299999999999879</v>
      </c>
      <c r="C268" s="20">
        <f t="shared" si="70"/>
        <v>30.836144069111125</v>
      </c>
      <c r="D268" s="20">
        <f t="shared" si="73"/>
        <v>0.20424762846252772</v>
      </c>
      <c r="E268" s="20">
        <f t="shared" si="74"/>
        <v>4.4469329079583657</v>
      </c>
      <c r="F268" s="20">
        <f t="shared" si="75"/>
        <v>0.17156800790852328</v>
      </c>
      <c r="G268" s="20">
        <f t="shared" si="76"/>
        <v>3.7354236426850269</v>
      </c>
      <c r="I268" s="20">
        <f t="shared" si="71"/>
        <v>0.60742391771216897</v>
      </c>
      <c r="K268" s="20">
        <f t="shared" si="81"/>
        <v>25.320207003933113</v>
      </c>
      <c r="L268" s="20">
        <f t="shared" si="72"/>
        <v>-0.26563516785540009</v>
      </c>
      <c r="M268" s="20">
        <f t="shared" si="77"/>
        <v>-5.7834785076290025</v>
      </c>
      <c r="N268" s="1">
        <f t="shared" si="82"/>
        <v>107.04438037441778</v>
      </c>
      <c r="P268" s="20">
        <f t="shared" si="83"/>
        <v>17.599855065566693</v>
      </c>
      <c r="Q268" s="20">
        <f t="shared" si="78"/>
        <v>-0.42627036460735046</v>
      </c>
      <c r="R268" s="20">
        <f t="shared" si="79"/>
        <v>-9.2808701199074779</v>
      </c>
      <c r="S268" s="20">
        <f t="shared" si="84"/>
        <v>78.241443262804069</v>
      </c>
      <c r="T268" s="1">
        <f t="shared" si="85"/>
        <v>0</v>
      </c>
    </row>
    <row r="269" spans="1:20" x14ac:dyDescent="0.25">
      <c r="A269" s="20">
        <f t="shared" si="80"/>
        <v>2.6399999999999877</v>
      </c>
      <c r="C269" s="20">
        <f t="shared" si="70"/>
        <v>30.735714121005657</v>
      </c>
      <c r="D269" s="20">
        <f t="shared" si="73"/>
        <v>0.20291937061882823</v>
      </c>
      <c r="E269" s="20">
        <f t="shared" si="74"/>
        <v>4.4180137299984379</v>
      </c>
      <c r="F269" s="20">
        <f t="shared" si="75"/>
        <v>0.17045227131981572</v>
      </c>
      <c r="G269" s="20">
        <f t="shared" si="76"/>
        <v>3.7111315331986878</v>
      </c>
      <c r="I269" s="20">
        <f t="shared" si="71"/>
        <v>0.60601845979260061</v>
      </c>
      <c r="K269" s="20">
        <f t="shared" si="81"/>
        <v>25.262372218856822</v>
      </c>
      <c r="L269" s="20">
        <f t="shared" si="72"/>
        <v>-0.26387350090408157</v>
      </c>
      <c r="M269" s="20">
        <f t="shared" si="77"/>
        <v>-5.7451230329649814</v>
      </c>
      <c r="N269" s="1">
        <f t="shared" si="82"/>
        <v>107.29729327053174</v>
      </c>
      <c r="P269" s="20">
        <f t="shared" si="83"/>
        <v>17.507046364367618</v>
      </c>
      <c r="Q269" s="20">
        <f t="shared" si="78"/>
        <v>-0.42605752362948557</v>
      </c>
      <c r="R269" s="20">
        <f t="shared" si="79"/>
        <v>-9.2762360903436871</v>
      </c>
      <c r="S269" s="20">
        <f t="shared" si="84"/>
        <v>78.416977769953732</v>
      </c>
      <c r="T269" s="1">
        <f t="shared" si="85"/>
        <v>0</v>
      </c>
    </row>
    <row r="270" spans="1:20" x14ac:dyDescent="0.25">
      <c r="A270" s="20">
        <f t="shared" si="80"/>
        <v>2.6499999999999875</v>
      </c>
      <c r="C270" s="20">
        <f t="shared" si="70"/>
        <v>30.635687186534692</v>
      </c>
      <c r="D270" s="20">
        <f t="shared" si="73"/>
        <v>0.20160074991799382</v>
      </c>
      <c r="E270" s="20">
        <f t="shared" si="74"/>
        <v>4.3893043744392299</v>
      </c>
      <c r="F270" s="20">
        <f t="shared" si="75"/>
        <v>0.16934462993111479</v>
      </c>
      <c r="G270" s="20">
        <f t="shared" si="76"/>
        <v>3.6870156745289528</v>
      </c>
      <c r="I270" s="20">
        <f t="shared" si="71"/>
        <v>0.60459791755223702</v>
      </c>
      <c r="K270" s="20">
        <f t="shared" si="81"/>
        <v>25.204920988527171</v>
      </c>
      <c r="L270" s="20">
        <f t="shared" si="72"/>
        <v>-0.2621239211674159</v>
      </c>
      <c r="M270" s="20">
        <f t="shared" si="77"/>
        <v>-5.7070307243068994</v>
      </c>
      <c r="N270" s="1">
        <f t="shared" si="82"/>
        <v>107.54962973656866</v>
      </c>
      <c r="P270" s="20">
        <f t="shared" si="83"/>
        <v>17.414284003464182</v>
      </c>
      <c r="Q270" s="20">
        <f t="shared" si="78"/>
        <v>-0.42584445033362789</v>
      </c>
      <c r="R270" s="20">
        <f t="shared" si="79"/>
        <v>-9.2715970026916583</v>
      </c>
      <c r="S270" s="20">
        <f t="shared" si="84"/>
        <v>78.591584421792888</v>
      </c>
      <c r="T270" s="1">
        <f t="shared" si="85"/>
        <v>0</v>
      </c>
    </row>
    <row r="271" spans="1:20" x14ac:dyDescent="0.25">
      <c r="A271" s="20">
        <f t="shared" si="80"/>
        <v>2.6599999999999873</v>
      </c>
      <c r="C271" s="20">
        <f t="shared" si="70"/>
        <v>30.536062500347963</v>
      </c>
      <c r="D271" s="20">
        <f t="shared" si="73"/>
        <v>0.20029170436517549</v>
      </c>
      <c r="E271" s="20">
        <f t="shared" si="74"/>
        <v>4.3608034915126384</v>
      </c>
      <c r="F271" s="20">
        <f t="shared" si="75"/>
        <v>0.16824503166674742</v>
      </c>
      <c r="G271" s="20">
        <f t="shared" si="76"/>
        <v>3.6630749328706167</v>
      </c>
      <c r="I271" s="20">
        <f t="shared" si="71"/>
        <v>0.60316224646713146</v>
      </c>
      <c r="K271" s="20">
        <f t="shared" si="81"/>
        <v>25.147850681284101</v>
      </c>
      <c r="L271" s="20">
        <f t="shared" si="72"/>
        <v>-0.26038634274763162</v>
      </c>
      <c r="M271" s="20">
        <f t="shared" si="77"/>
        <v>-5.6691997114659616</v>
      </c>
      <c r="N271" s="1">
        <f t="shared" si="82"/>
        <v>107.80139359491771</v>
      </c>
      <c r="P271" s="20">
        <f t="shared" si="83"/>
        <v>17.321568033437266</v>
      </c>
      <c r="Q271" s="20">
        <f t="shared" si="78"/>
        <v>-0.42563116639911058</v>
      </c>
      <c r="R271" s="20">
        <f t="shared" si="79"/>
        <v>-9.2669533289595165</v>
      </c>
      <c r="S271" s="20">
        <f t="shared" si="84"/>
        <v>78.765263681977402</v>
      </c>
      <c r="T271" s="1">
        <f t="shared" si="85"/>
        <v>0</v>
      </c>
    </row>
    <row r="272" spans="1:20" x14ac:dyDescent="0.25">
      <c r="A272" s="20">
        <f t="shared" si="80"/>
        <v>2.6699999999999871</v>
      </c>
      <c r="C272" s="20">
        <f t="shared" si="70"/>
        <v>30.436839317553364</v>
      </c>
      <c r="D272" s="20">
        <f t="shared" si="73"/>
        <v>0.19899217257285368</v>
      </c>
      <c r="E272" s="20">
        <f t="shared" si="74"/>
        <v>4.3325097446734961</v>
      </c>
      <c r="F272" s="20">
        <f t="shared" si="75"/>
        <v>0.16715342496119709</v>
      </c>
      <c r="G272" s="20">
        <f t="shared" si="76"/>
        <v>3.6393081855257368</v>
      </c>
      <c r="I272" s="20">
        <f t="shared" si="71"/>
        <v>0.60171140186216876</v>
      </c>
      <c r="K272" s="20">
        <f t="shared" si="81"/>
        <v>25.091158684169443</v>
      </c>
      <c r="L272" s="20">
        <f t="shared" si="72"/>
        <v>-0.25866068054580332</v>
      </c>
      <c r="M272" s="20">
        <f t="shared" si="77"/>
        <v>-5.6316281416460559</v>
      </c>
      <c r="N272" s="1">
        <f t="shared" si="82"/>
        <v>108.05258864174499</v>
      </c>
      <c r="P272" s="20">
        <f t="shared" si="83"/>
        <v>17.228898500147672</v>
      </c>
      <c r="Q272" s="20">
        <f t="shared" si="78"/>
        <v>-0.42541769304837168</v>
      </c>
      <c r="R272" s="20">
        <f t="shared" si="79"/>
        <v>-9.262305531207744</v>
      </c>
      <c r="S272" s="20">
        <f t="shared" si="84"/>
        <v>78.938016014645314</v>
      </c>
      <c r="T272" s="1">
        <f t="shared" si="85"/>
        <v>0</v>
      </c>
    </row>
    <row r="273" spans="1:20" x14ac:dyDescent="0.25">
      <c r="A273" s="20">
        <f t="shared" si="80"/>
        <v>2.6799999999999868</v>
      </c>
      <c r="C273" s="20">
        <f t="shared" si="70"/>
        <v>30.338016913634188</v>
      </c>
      <c r="D273" s="20">
        <f t="shared" si="73"/>
        <v>0.19770209375409536</v>
      </c>
      <c r="E273" s="20">
        <f t="shared" si="74"/>
        <v>4.3044218104527623</v>
      </c>
      <c r="F273" s="20">
        <f t="shared" si="75"/>
        <v>0.1660697587534401</v>
      </c>
      <c r="G273" s="20">
        <f t="shared" si="76"/>
        <v>3.6157143207803202</v>
      </c>
      <c r="I273" s="20">
        <f t="shared" si="71"/>
        <v>0.60024533891834486</v>
      </c>
      <c r="K273" s="20">
        <f t="shared" si="81"/>
        <v>25.034842402752982</v>
      </c>
      <c r="L273" s="20">
        <f t="shared" si="72"/>
        <v>-0.25694685025312769</v>
      </c>
      <c r="M273" s="20">
        <f t="shared" si="77"/>
        <v>-5.5943141792538142</v>
      </c>
      <c r="N273" s="1">
        <f t="shared" si="82"/>
        <v>108.30321864717961</v>
      </c>
      <c r="P273" s="20">
        <f t="shared" si="83"/>
        <v>17.136275444835594</v>
      </c>
      <c r="Q273" s="20">
        <f t="shared" si="78"/>
        <v>-0.42520405105219544</v>
      </c>
      <c r="R273" s="20">
        <f t="shared" si="79"/>
        <v>-9.2576540616633025</v>
      </c>
      <c r="S273" s="20">
        <f t="shared" si="84"/>
        <v>79.109841884370226</v>
      </c>
      <c r="T273" s="1">
        <f t="shared" si="85"/>
        <v>0</v>
      </c>
    </row>
    <row r="274" spans="1:20" x14ac:dyDescent="0.25">
      <c r="A274" s="20">
        <f t="shared" si="80"/>
        <v>2.6899999999999866</v>
      </c>
      <c r="C274" s="20">
        <f t="shared" si="70"/>
        <v>30.239594584367111</v>
      </c>
      <c r="D274" s="20">
        <f t="shared" si="73"/>
        <v>0.19642140771589736</v>
      </c>
      <c r="E274" s="20">
        <f t="shared" si="74"/>
        <v>4.2765383783125923</v>
      </c>
      <c r="F274" s="20">
        <f t="shared" si="75"/>
        <v>0.16499398248135377</v>
      </c>
      <c r="G274" s="20">
        <f t="shared" si="76"/>
        <v>3.5922922377825772</v>
      </c>
      <c r="I274" s="20">
        <f t="shared" si="71"/>
        <v>0.59876401268022461</v>
      </c>
      <c r="K274" s="20">
        <f t="shared" si="81"/>
        <v>24.978899260960443</v>
      </c>
      <c r="L274" s="20">
        <f t="shared" si="72"/>
        <v>-0.25524476834229198</v>
      </c>
      <c r="M274" s="20">
        <f t="shared" si="77"/>
        <v>-5.5572560057106903</v>
      </c>
      <c r="N274" s="1">
        <f t="shared" si="82"/>
        <v>108.55328735549818</v>
      </c>
      <c r="P274" s="20">
        <f t="shared" si="83"/>
        <v>17.04369890421896</v>
      </c>
      <c r="Q274" s="20">
        <f t="shared" si="78"/>
        <v>-0.42499026073485857</v>
      </c>
      <c r="R274" s="20">
        <f t="shared" si="79"/>
        <v>-9.2529993628316696</v>
      </c>
      <c r="S274" s="20">
        <f t="shared" si="84"/>
        <v>79.280741756115489</v>
      </c>
      <c r="T274" s="1">
        <f t="shared" si="85"/>
        <v>0</v>
      </c>
    </row>
    <row r="275" spans="1:20" x14ac:dyDescent="0.25">
      <c r="A275" s="20">
        <f t="shared" si="80"/>
        <v>2.6999999999999864</v>
      </c>
      <c r="C275" s="20">
        <f t="shared" si="70"/>
        <v>30.141571645740967</v>
      </c>
      <c r="D275" s="20">
        <f t="shared" si="73"/>
        <v>0.19515005485261541</v>
      </c>
      <c r="E275" s="20">
        <f t="shared" si="74"/>
        <v>4.248858150503275</v>
      </c>
      <c r="F275" s="20">
        <f t="shared" si="75"/>
        <v>0.16392604607619696</v>
      </c>
      <c r="G275" s="20">
        <f t="shared" si="76"/>
        <v>3.5690408464227512</v>
      </c>
      <c r="I275" s="20">
        <f t="shared" si="71"/>
        <v>0.59726737806357943</v>
      </c>
      <c r="K275" s="20">
        <f t="shared" si="81"/>
        <v>24.923326700903335</v>
      </c>
      <c r="L275" s="20">
        <f t="shared" si="72"/>
        <v>-0.25355435205893506</v>
      </c>
      <c r="M275" s="20">
        <f t="shared" si="77"/>
        <v>-5.5204518192670387</v>
      </c>
      <c r="N275" s="1">
        <f t="shared" si="82"/>
        <v>108.80279848530751</v>
      </c>
      <c r="P275" s="20">
        <f t="shared" si="83"/>
        <v>16.951168910590642</v>
      </c>
      <c r="Q275" s="20">
        <f t="shared" si="78"/>
        <v>-0.42477634197918135</v>
      </c>
      <c r="R275" s="20">
        <f t="shared" si="79"/>
        <v>-9.2483418676068219</v>
      </c>
      <c r="S275" s="20">
        <f t="shared" si="84"/>
        <v>79.450716095189534</v>
      </c>
      <c r="T275" s="1">
        <f t="shared" si="85"/>
        <v>0</v>
      </c>
    </row>
    <row r="276" spans="1:20" x14ac:dyDescent="0.25">
      <c r="A276" s="20">
        <f t="shared" si="80"/>
        <v>2.7099999999999862</v>
      </c>
      <c r="C276" s="20">
        <f t="shared" si="70"/>
        <v>30.043947433876216</v>
      </c>
      <c r="D276" s="20">
        <f t="shared" si="73"/>
        <v>0.19388797613947703</v>
      </c>
      <c r="E276" s="20">
        <f t="shared" si="74"/>
        <v>4.2213798419219906</v>
      </c>
      <c r="F276" s="20">
        <f t="shared" si="75"/>
        <v>0.16286589995716072</v>
      </c>
      <c r="G276" s="20">
        <f t="shared" si="76"/>
        <v>3.5459590672144725</v>
      </c>
      <c r="I276" s="20">
        <f t="shared" si="71"/>
        <v>0.59575538986321186</v>
      </c>
      <c r="K276" s="20">
        <f t="shared" si="81"/>
        <v>24.868122182710664</v>
      </c>
      <c r="L276" s="20">
        <f t="shared" si="72"/>
        <v>-0.25187551941319841</v>
      </c>
      <c r="M276" s="20">
        <f t="shared" si="77"/>
        <v>-5.4838998348181676</v>
      </c>
      <c r="N276" s="1">
        <f t="shared" si="82"/>
        <v>109.05175572972557</v>
      </c>
      <c r="P276" s="20">
        <f t="shared" si="83"/>
        <v>16.858685491914574</v>
      </c>
      <c r="Q276" s="20">
        <f t="shared" si="78"/>
        <v>-0.42456231423148644</v>
      </c>
      <c r="R276" s="20">
        <f t="shared" si="79"/>
        <v>-9.243681999379195</v>
      </c>
      <c r="S276" s="20">
        <f t="shared" si="84"/>
        <v>79.619765367202064</v>
      </c>
      <c r="T276" s="1">
        <f t="shared" si="85"/>
        <v>0</v>
      </c>
    </row>
    <row r="277" spans="1:20" x14ac:dyDescent="0.25">
      <c r="A277" s="20">
        <f t="shared" si="80"/>
        <v>2.719999999999986</v>
      </c>
      <c r="C277" s="20">
        <f t="shared" si="70"/>
        <v>29.946721304945076</v>
      </c>
      <c r="D277" s="20">
        <f t="shared" si="73"/>
        <v>0.19263511312617695</v>
      </c>
      <c r="E277" s="20">
        <f t="shared" si="74"/>
        <v>4.1941021799733713</v>
      </c>
      <c r="F277" s="20">
        <f t="shared" si="75"/>
        <v>0.16181349502598863</v>
      </c>
      <c r="G277" s="20">
        <f t="shared" si="76"/>
        <v>3.5230458311776318</v>
      </c>
      <c r="I277" s="20">
        <f t="shared" si="71"/>
        <v>0.59422800276096488</v>
      </c>
      <c r="K277" s="20">
        <f t="shared" si="81"/>
        <v>24.813283184362483</v>
      </c>
      <c r="L277" s="20">
        <f t="shared" si="72"/>
        <v>-0.25020818917136595</v>
      </c>
      <c r="M277" s="20">
        <f t="shared" si="77"/>
        <v>-5.4475982837223151</v>
      </c>
      <c r="N277" s="1">
        <f t="shared" si="82"/>
        <v>109.30016275656094</v>
      </c>
      <c r="P277" s="20">
        <f t="shared" si="83"/>
        <v>16.766248671920781</v>
      </c>
      <c r="Q277" s="20">
        <f t="shared" si="78"/>
        <v>-0.42434819650646577</v>
      </c>
      <c r="R277" s="20">
        <f t="shared" si="79"/>
        <v>-9.2390201721416449</v>
      </c>
      <c r="S277" s="20">
        <f t="shared" si="84"/>
        <v>79.787890038021231</v>
      </c>
      <c r="T277" s="1">
        <f t="shared" si="85"/>
        <v>0</v>
      </c>
    </row>
    <row r="278" spans="1:20" x14ac:dyDescent="0.25">
      <c r="A278" s="20">
        <f t="shared" si="80"/>
        <v>2.7299999999999858</v>
      </c>
      <c r="C278" s="20">
        <f t="shared" si="70"/>
        <v>29.84989263509231</v>
      </c>
      <c r="D278" s="20">
        <f t="shared" si="73"/>
        <v>0.19139140793055454</v>
      </c>
      <c r="E278" s="20">
        <f t="shared" si="74"/>
        <v>4.1670239044318427</v>
      </c>
      <c r="F278" s="20">
        <f t="shared" si="75"/>
        <v>0.16076878266166583</v>
      </c>
      <c r="G278" s="20">
        <f t="shared" si="76"/>
        <v>3.5003000797227486</v>
      </c>
      <c r="I278" s="20">
        <f t="shared" si="71"/>
        <v>0.59268517133392407</v>
      </c>
      <c r="K278" s="20">
        <f t="shared" si="81"/>
        <v>24.758807201525261</v>
      </c>
      <c r="L278" s="20">
        <f t="shared" si="72"/>
        <v>-0.24855228084759196</v>
      </c>
      <c r="M278" s="20">
        <f t="shared" si="77"/>
        <v>-5.4115454136205523</v>
      </c>
      <c r="N278" s="1">
        <f t="shared" si="82"/>
        <v>109.54802320849038</v>
      </c>
      <c r="P278" s="20">
        <f t="shared" si="83"/>
        <v>16.673858470199363</v>
      </c>
      <c r="Q278" s="20">
        <f t="shared" si="78"/>
        <v>-0.424134007391958</v>
      </c>
      <c r="R278" s="20">
        <f t="shared" si="79"/>
        <v>-9.234356790593468</v>
      </c>
      <c r="S278" s="20">
        <f t="shared" si="84"/>
        <v>79.955090573731837</v>
      </c>
      <c r="T278" s="1">
        <f t="shared" si="85"/>
        <v>0</v>
      </c>
    </row>
    <row r="279" spans="1:20" x14ac:dyDescent="0.25">
      <c r="A279" s="20">
        <f t="shared" si="80"/>
        <v>2.7399999999999856</v>
      </c>
      <c r="C279" s="20">
        <f t="shared" si="70"/>
        <v>29.753460820356544</v>
      </c>
      <c r="D279" s="20">
        <f t="shared" si="73"/>
        <v>0.19015680323235093</v>
      </c>
      <c r="E279" s="20">
        <f t="shared" si="74"/>
        <v>4.1401437673057027</v>
      </c>
      <c r="F279" s="20">
        <f t="shared" si="75"/>
        <v>0.15973171471517478</v>
      </c>
      <c r="G279" s="20">
        <f t="shared" si="76"/>
        <v>3.4777207645367905</v>
      </c>
      <c r="I279" s="20">
        <f t="shared" si="71"/>
        <v>0.59112685006281307</v>
      </c>
      <c r="K279" s="20">
        <f t="shared" si="81"/>
        <v>24.704691747389056</v>
      </c>
      <c r="L279" s="20">
        <f t="shared" si="72"/>
        <v>-0.24690771469571399</v>
      </c>
      <c r="M279" s="20">
        <f t="shared" si="77"/>
        <v>-5.3757394882585237</v>
      </c>
      <c r="N279" s="1">
        <f t="shared" si="82"/>
        <v>109.79534070323494</v>
      </c>
      <c r="P279" s="20">
        <f t="shared" si="83"/>
        <v>16.581514902293428</v>
      </c>
      <c r="Q279" s="20">
        <f t="shared" si="78"/>
        <v>-0.42391976505363838</v>
      </c>
      <c r="R279" s="20">
        <f t="shared" si="79"/>
        <v>-9.2296922502425076</v>
      </c>
      <c r="S279" s="20">
        <f t="shared" si="84"/>
        <v>80.121367440594298</v>
      </c>
      <c r="T279" s="1">
        <f t="shared" si="85"/>
        <v>0</v>
      </c>
    </row>
    <row r="280" spans="1:20" x14ac:dyDescent="0.25">
      <c r="A280" s="20">
        <f t="shared" si="80"/>
        <v>2.7499999999999853</v>
      </c>
      <c r="C280" s="20">
        <f t="shared" si="70"/>
        <v>29.657425276592143</v>
      </c>
      <c r="D280" s="20">
        <f t="shared" si="73"/>
        <v>0.18893124226704541</v>
      </c>
      <c r="E280" s="20">
        <f t="shared" si="74"/>
        <v>4.113460532702927</v>
      </c>
      <c r="F280" s="20">
        <f t="shared" si="75"/>
        <v>0.15870224350431814</v>
      </c>
      <c r="G280" s="20">
        <f t="shared" si="76"/>
        <v>3.455306847470458</v>
      </c>
      <c r="I280" s="20">
        <f t="shared" si="71"/>
        <v>0.58955299334058586</v>
      </c>
      <c r="K280" s="20">
        <f t="shared" si="81"/>
        <v>24.650934352506471</v>
      </c>
      <c r="L280" s="20">
        <f t="shared" si="72"/>
        <v>-0.24527441170115172</v>
      </c>
      <c r="M280" s="20">
        <f t="shared" si="77"/>
        <v>-5.3401787873100748</v>
      </c>
      <c r="N280" s="1">
        <f t="shared" si="82"/>
        <v>110.04211883373442</v>
      </c>
      <c r="P280" s="20">
        <f t="shared" si="83"/>
        <v>16.489217979791004</v>
      </c>
      <c r="Q280" s="20">
        <f t="shared" si="78"/>
        <v>-0.42370548723962037</v>
      </c>
      <c r="R280" s="20">
        <f t="shared" si="79"/>
        <v>-9.2250269375053424</v>
      </c>
      <c r="S280" s="20">
        <f t="shared" si="84"/>
        <v>80.286721105004716</v>
      </c>
      <c r="T280" s="1">
        <f t="shared" si="85"/>
        <v>0</v>
      </c>
    </row>
    <row r="281" spans="1:20" x14ac:dyDescent="0.25">
      <c r="A281" s="20">
        <f t="shared" si="80"/>
        <v>2.7599999999999851</v>
      </c>
      <c r="C281" s="20">
        <f t="shared" si="70"/>
        <v>29.561785439391553</v>
      </c>
      <c r="D281" s="20">
        <f t="shared" si="73"/>
        <v>0.18771466881976928</v>
      </c>
      <c r="E281" s="20">
        <f t="shared" si="74"/>
        <v>4.0869729766986564</v>
      </c>
      <c r="F281" s="20">
        <f t="shared" si="75"/>
        <v>0.15768032180860619</v>
      </c>
      <c r="G281" s="20">
        <f t="shared" si="76"/>
        <v>3.4330573004268712</v>
      </c>
      <c r="I281" s="20">
        <f t="shared" si="71"/>
        <v>0.58796355548122037</v>
      </c>
      <c r="K281" s="20">
        <f t="shared" si="81"/>
        <v>24.597532564633372</v>
      </c>
      <c r="L281" s="20">
        <f t="shared" si="72"/>
        <v>-0.24365229357288795</v>
      </c>
      <c r="M281" s="20">
        <f t="shared" si="77"/>
        <v>-5.304861606202655</v>
      </c>
      <c r="N281" s="1">
        <f t="shared" si="82"/>
        <v>110.28836116832012</v>
      </c>
      <c r="P281" s="20">
        <f t="shared" si="83"/>
        <v>16.39696771041595</v>
      </c>
      <c r="Q281" s="20">
        <f t="shared" si="78"/>
        <v>-0.42349119128497381</v>
      </c>
      <c r="R281" s="20">
        <f t="shared" si="79"/>
        <v>-9.2203612298056576</v>
      </c>
      <c r="S281" s="20">
        <f t="shared" si="84"/>
        <v>80.451152033455756</v>
      </c>
      <c r="T281" s="1">
        <f t="shared" si="85"/>
        <v>0</v>
      </c>
    </row>
    <row r="282" spans="1:20" x14ac:dyDescent="0.25">
      <c r="A282" s="20">
        <f t="shared" si="80"/>
        <v>2.7699999999999849</v>
      </c>
      <c r="C282" s="20">
        <f t="shared" si="70"/>
        <v>29.466540764008094</v>
      </c>
      <c r="D282" s="20">
        <f t="shared" si="73"/>
        <v>0.18650702721929688</v>
      </c>
      <c r="E282" s="20">
        <f t="shared" si="74"/>
        <v>4.0606798872043735</v>
      </c>
      <c r="F282" s="20">
        <f t="shared" si="75"/>
        <v>0.15666590286420939</v>
      </c>
      <c r="G282" s="20">
        <f t="shared" si="76"/>
        <v>3.4109711052516745</v>
      </c>
      <c r="I282" s="20">
        <f t="shared" si="71"/>
        <v>0.58635849072871526</v>
      </c>
      <c r="K282" s="20">
        <f t="shared" si="81"/>
        <v>24.544483948571347</v>
      </c>
      <c r="L282" s="20">
        <f t="shared" si="72"/>
        <v>-0.24204128273553255</v>
      </c>
      <c r="M282" s="20">
        <f t="shared" si="77"/>
        <v>-5.2697862559445365</v>
      </c>
      <c r="N282" s="1">
        <f t="shared" si="82"/>
        <v>110.53407125088614</v>
      </c>
      <c r="P282" s="20">
        <f t="shared" si="83"/>
        <v>16.304764098117893</v>
      </c>
      <c r="Q282" s="20">
        <f t="shared" si="78"/>
        <v>-0.4232768941161581</v>
      </c>
      <c r="R282" s="20">
        <f t="shared" si="79"/>
        <v>-9.2156954956707615</v>
      </c>
      <c r="S282" s="20">
        <f t="shared" si="84"/>
        <v>80.614660692498433</v>
      </c>
      <c r="T282" s="1">
        <f t="shared" si="85"/>
        <v>0</v>
      </c>
    </row>
    <row r="283" spans="1:20" x14ac:dyDescent="0.25">
      <c r="A283" s="20">
        <f t="shared" si="80"/>
        <v>2.7799999999999847</v>
      </c>
      <c r="C283" s="20">
        <f t="shared" si="70"/>
        <v>29.371690725279116</v>
      </c>
      <c r="D283" s="20">
        <f t="shared" si="73"/>
        <v>0.18530826233211126</v>
      </c>
      <c r="E283" s="20">
        <f t="shared" si="74"/>
        <v>4.0345800638386953</v>
      </c>
      <c r="F283" s="20">
        <f t="shared" si="75"/>
        <v>0.15565894035897346</v>
      </c>
      <c r="G283" s="20">
        <f t="shared" si="76"/>
        <v>3.3890472536245038</v>
      </c>
      <c r="I283" s="20">
        <f t="shared" si="71"/>
        <v>0.58473775326629396</v>
      </c>
      <c r="K283" s="20">
        <f t="shared" si="81"/>
        <v>24.491786086011903</v>
      </c>
      <c r="L283" s="20">
        <f t="shared" si="72"/>
        <v>-0.24044130232146615</v>
      </c>
      <c r="M283" s="20">
        <f t="shared" si="77"/>
        <v>-5.2349510629537592</v>
      </c>
      <c r="N283" s="1">
        <f t="shared" si="82"/>
        <v>110.77925260105906</v>
      </c>
      <c r="P283" s="20">
        <f t="shared" si="83"/>
        <v>16.212607143161186</v>
      </c>
      <c r="Q283" s="20">
        <f t="shared" si="78"/>
        <v>-0.42306261225537373</v>
      </c>
      <c r="R283" s="20">
        <f t="shared" si="79"/>
        <v>-9.2110300948263379</v>
      </c>
      <c r="S283" s="20">
        <f t="shared" si="84"/>
        <v>80.777247548704821</v>
      </c>
      <c r="T283" s="1">
        <f t="shared" si="85"/>
        <v>0</v>
      </c>
    </row>
    <row r="284" spans="1:20" x14ac:dyDescent="0.25">
      <c r="A284" s="20">
        <f t="shared" si="80"/>
        <v>2.7899999999999845</v>
      </c>
      <c r="C284" s="20">
        <f t="shared" si="70"/>
        <v>29.277234817549523</v>
      </c>
      <c r="D284" s="20">
        <f t="shared" si="73"/>
        <v>0.18411831955654481</v>
      </c>
      <c r="E284" s="20">
        <f t="shared" si="74"/>
        <v>4.0086723177998005</v>
      </c>
      <c r="F284" s="20">
        <f t="shared" si="75"/>
        <v>0.15465938842749766</v>
      </c>
      <c r="G284" s="20">
        <f t="shared" si="76"/>
        <v>3.3672847469518326</v>
      </c>
      <c r="I284" s="20">
        <f t="shared" si="71"/>
        <v>0.58310129722581916</v>
      </c>
      <c r="K284" s="20">
        <f t="shared" si="81"/>
        <v>24.439436575382366</v>
      </c>
      <c r="L284" s="20">
        <f t="shared" si="72"/>
        <v>-0.2388522761630642</v>
      </c>
      <c r="M284" s="20">
        <f t="shared" si="77"/>
        <v>-5.2003543688888358</v>
      </c>
      <c r="N284" s="1">
        <f t="shared" si="82"/>
        <v>111.02390871436602</v>
      </c>
      <c r="P284" s="20">
        <f t="shared" si="83"/>
        <v>16.120496842212923</v>
      </c>
      <c r="Q284" s="20">
        <f t="shared" si="78"/>
        <v>-0.42284836182483243</v>
      </c>
      <c r="R284" s="20">
        <f t="shared" si="79"/>
        <v>-9.2063653782894068</v>
      </c>
      <c r="S284" s="20">
        <f t="shared" si="84"/>
        <v>80.938913068631692</v>
      </c>
      <c r="T284" s="1">
        <f t="shared" si="85"/>
        <v>0</v>
      </c>
    </row>
    <row r="285" spans="1:20" x14ac:dyDescent="0.25">
      <c r="A285" s="20">
        <f t="shared" si="80"/>
        <v>2.7999999999999843</v>
      </c>
      <c r="C285" s="20">
        <f t="shared" si="70"/>
        <v>29.183172554595558</v>
      </c>
      <c r="D285" s="20">
        <f t="shared" si="73"/>
        <v>0.18293714481699255</v>
      </c>
      <c r="E285" s="20">
        <f t="shared" si="74"/>
        <v>3.9829554717394418</v>
      </c>
      <c r="F285" s="20">
        <f t="shared" si="75"/>
        <v>0.15366720164627373</v>
      </c>
      <c r="G285" s="20">
        <f t="shared" si="76"/>
        <v>3.3456825962611307</v>
      </c>
      <c r="I285" s="20">
        <f t="shared" si="71"/>
        <v>0.58144907669742019</v>
      </c>
      <c r="K285" s="20">
        <f t="shared" si="81"/>
        <v>24.38743303169348</v>
      </c>
      <c r="L285" s="20">
        <f t="shared" si="72"/>
        <v>-0.23727412878499785</v>
      </c>
      <c r="M285" s="20">
        <f t="shared" si="77"/>
        <v>-5.1659945304811199</v>
      </c>
      <c r="N285" s="1">
        <f t="shared" si="82"/>
        <v>111.26804306240139</v>
      </c>
      <c r="P285" s="20">
        <f t="shared" si="83"/>
        <v>16.028433188430029</v>
      </c>
      <c r="Q285" s="20">
        <f t="shared" si="78"/>
        <v>-0.42263415855094844</v>
      </c>
      <c r="R285" s="20">
        <f t="shared" si="79"/>
        <v>-9.201701688459579</v>
      </c>
      <c r="S285" s="20">
        <f t="shared" si="84"/>
        <v>81.099657718784897</v>
      </c>
      <c r="T285" s="1">
        <f t="shared" si="85"/>
        <v>0</v>
      </c>
    </row>
    <row r="286" spans="1:20" x14ac:dyDescent="0.25">
      <c r="A286" s="20">
        <f t="shared" si="80"/>
        <v>2.8099999999999841</v>
      </c>
      <c r="C286" s="20">
        <f t="shared" si="70"/>
        <v>29.089503469548838</v>
      </c>
      <c r="D286" s="20">
        <f t="shared" si="73"/>
        <v>0.18176468455819747</v>
      </c>
      <c r="E286" s="20">
        <f t="shared" si="74"/>
        <v>3.9574283596385254</v>
      </c>
      <c r="F286" s="20">
        <f t="shared" si="75"/>
        <v>0.15268233502888587</v>
      </c>
      <c r="G286" s="20">
        <f t="shared" si="76"/>
        <v>3.3242398220963612</v>
      </c>
      <c r="I286" s="20">
        <f t="shared" si="71"/>
        <v>0.57978104573933797</v>
      </c>
      <c r="K286" s="20">
        <f t="shared" si="81"/>
        <v>24.33577308638867</v>
      </c>
      <c r="L286" s="20">
        <f t="shared" si="72"/>
        <v>-0.23570678539661249</v>
      </c>
      <c r="M286" s="20">
        <f t="shared" si="77"/>
        <v>-5.1318699193688762</v>
      </c>
      <c r="N286" s="1">
        <f t="shared" si="82"/>
        <v>111.51165909299181</v>
      </c>
      <c r="P286" s="20">
        <f t="shared" si="83"/>
        <v>15.936416171545433</v>
      </c>
      <c r="Q286" s="20">
        <f t="shared" si="78"/>
        <v>-0.42242001776845123</v>
      </c>
      <c r="R286" s="20">
        <f t="shared" si="79"/>
        <v>-9.1970393592086062</v>
      </c>
      <c r="S286" s="20">
        <f t="shared" si="84"/>
        <v>81.259481965584769</v>
      </c>
      <c r="T286" s="1">
        <f t="shared" si="85"/>
        <v>0</v>
      </c>
    </row>
    <row r="287" spans="1:20" x14ac:dyDescent="0.25">
      <c r="A287" s="20">
        <f t="shared" si="80"/>
        <v>2.8199999999999839</v>
      </c>
      <c r="C287" s="20">
        <f t="shared" si="70"/>
        <v>28.996227114820595</v>
      </c>
      <c r="D287" s="20">
        <f t="shared" si="73"/>
        <v>0.18060088573960714</v>
      </c>
      <c r="E287" s="20">
        <f t="shared" si="74"/>
        <v>3.9320898266842401</v>
      </c>
      <c r="F287" s="20">
        <f t="shared" si="75"/>
        <v>0.15170474402126999</v>
      </c>
      <c r="G287" s="20">
        <f t="shared" si="76"/>
        <v>3.3029554544147612</v>
      </c>
      <c r="I287" s="20">
        <f t="shared" si="71"/>
        <v>0.57809715838798947</v>
      </c>
      <c r="K287" s="20">
        <f t="shared" si="81"/>
        <v>24.28445438719498</v>
      </c>
      <c r="L287" s="20">
        <f t="shared" si="72"/>
        <v>-0.2341501718843815</v>
      </c>
      <c r="M287" s="20">
        <f t="shared" si="77"/>
        <v>-5.0979789219329747</v>
      </c>
      <c r="N287" s="1">
        <f t="shared" si="82"/>
        <v>111.75476023035974</v>
      </c>
      <c r="P287" s="20">
        <f t="shared" si="83"/>
        <v>15.844445777953347</v>
      </c>
      <c r="Q287" s="20">
        <f t="shared" si="78"/>
        <v>-0.42220595442442177</v>
      </c>
      <c r="R287" s="20">
        <f t="shared" si="79"/>
        <v>-9.1923787159682515</v>
      </c>
      <c r="S287" s="20">
        <f t="shared" si="84"/>
        <v>81.418386275332267</v>
      </c>
      <c r="T287" s="1">
        <f t="shared" si="85"/>
        <v>0</v>
      </c>
    </row>
    <row r="288" spans="1:20" x14ac:dyDescent="0.25">
      <c r="A288" s="20">
        <f t="shared" si="80"/>
        <v>2.8299999999999836</v>
      </c>
      <c r="C288" s="20">
        <f t="shared" si="70"/>
        <v>28.903343062026043</v>
      </c>
      <c r="D288" s="20">
        <f t="shared" si="73"/>
        <v>0.17944569582979972</v>
      </c>
      <c r="E288" s="20">
        <f t="shared" si="74"/>
        <v>3.9069387291486986</v>
      </c>
      <c r="F288" s="20">
        <f t="shared" si="75"/>
        <v>0.15073438449703178</v>
      </c>
      <c r="G288" s="20">
        <f t="shared" si="76"/>
        <v>3.2818285324849072</v>
      </c>
      <c r="I288" s="20">
        <f t="shared" si="71"/>
        <v>0.57639736866825608</v>
      </c>
      <c r="K288" s="20">
        <f t="shared" si="81"/>
        <v>24.233474597975651</v>
      </c>
      <c r="L288" s="20">
        <f t="shared" si="72"/>
        <v>-0.23260421480443413</v>
      </c>
      <c r="M288" s="20">
        <f t="shared" si="77"/>
        <v>-5.0643199391342071</v>
      </c>
      <c r="N288" s="1">
        <f t="shared" si="82"/>
        <v>111.99734987528559</v>
      </c>
      <c r="P288" s="20">
        <f t="shared" si="83"/>
        <v>15.752521990793664</v>
      </c>
      <c r="Q288" s="20">
        <f t="shared" si="78"/>
        <v>-0.42199198308225327</v>
      </c>
      <c r="R288" s="20">
        <f t="shared" si="79"/>
        <v>-9.1877200758165323</v>
      </c>
      <c r="S288" s="20">
        <f t="shared" si="84"/>
        <v>81.576371114176013</v>
      </c>
      <c r="T288" s="1">
        <f t="shared" si="85"/>
        <v>0</v>
      </c>
    </row>
    <row r="289" spans="1:20" x14ac:dyDescent="0.25">
      <c r="A289" s="20">
        <f t="shared" si="80"/>
        <v>2.8399999999999834</v>
      </c>
      <c r="C289" s="20">
        <f t="shared" si="70"/>
        <v>28.810850901908832</v>
      </c>
      <c r="D289" s="20">
        <f t="shared" si="73"/>
        <v>0.17829906280097904</v>
      </c>
      <c r="E289" s="20">
        <f t="shared" si="74"/>
        <v>3.8819739342690842</v>
      </c>
      <c r="F289" s="20">
        <f t="shared" si="75"/>
        <v>0.1497712127528224</v>
      </c>
      <c r="G289" s="20">
        <f t="shared" si="76"/>
        <v>3.2608581047860312</v>
      </c>
      <c r="I289" s="20">
        <f t="shared" si="71"/>
        <v>0.57468163060399746</v>
      </c>
      <c r="K289" s="20">
        <f t="shared" si="81"/>
        <v>24.182831398584309</v>
      </c>
      <c r="L289" s="20">
        <f t="shared" si="72"/>
        <v>-0.23106884137515654</v>
      </c>
      <c r="M289" s="20">
        <f t="shared" si="77"/>
        <v>-5.0308913863522005</v>
      </c>
      <c r="N289" s="1">
        <f t="shared" si="82"/>
        <v>112.23943140526839</v>
      </c>
      <c r="P289" s="20">
        <f t="shared" si="83"/>
        <v>15.660644790035498</v>
      </c>
      <c r="Q289" s="20">
        <f t="shared" si="78"/>
        <v>-0.4217781179255381</v>
      </c>
      <c r="R289" s="20">
        <f t="shared" si="79"/>
        <v>-9.1830637475623362</v>
      </c>
      <c r="S289" s="20">
        <f t="shared" si="84"/>
        <v>81.733436948080154</v>
      </c>
      <c r="T289" s="1">
        <f t="shared" si="85"/>
        <v>0</v>
      </c>
    </row>
    <row r="290" spans="1:20" x14ac:dyDescent="0.25">
      <c r="A290" s="20">
        <f t="shared" si="80"/>
        <v>2.8499999999999832</v>
      </c>
      <c r="C290" s="20">
        <f t="shared" si="70"/>
        <v>28.718750244265557</v>
      </c>
      <c r="D290" s="20">
        <f t="shared" si="73"/>
        <v>0.17716093512353723</v>
      </c>
      <c r="E290" s="20">
        <f t="shared" si="74"/>
        <v>3.8571943201292669</v>
      </c>
      <c r="F290" s="20">
        <f t="shared" si="75"/>
        <v>0.14881518550377126</v>
      </c>
      <c r="G290" s="20">
        <f t="shared" si="76"/>
        <v>3.2400432289085841</v>
      </c>
      <c r="I290" s="20">
        <f t="shared" si="71"/>
        <v>0.57294989822879672</v>
      </c>
      <c r="K290" s="20">
        <f t="shared" si="81"/>
        <v>24.132522484720788</v>
      </c>
      <c r="L290" s="20">
        <f t="shared" si="72"/>
        <v>-0.22954397946986452</v>
      </c>
      <c r="M290" s="20">
        <f t="shared" si="77"/>
        <v>-4.9976916932258773</v>
      </c>
      <c r="N290" s="1">
        <f t="shared" si="82"/>
        <v>112.48100817468492</v>
      </c>
      <c r="P290" s="20">
        <f t="shared" si="83"/>
        <v>15.568814152559874</v>
      </c>
      <c r="Q290" s="20">
        <f t="shared" si="78"/>
        <v>-0.42156437276188186</v>
      </c>
      <c r="R290" s="20">
        <f t="shared" si="79"/>
        <v>-9.1784100318284754</v>
      </c>
      <c r="S290" s="20">
        <f t="shared" si="84"/>
        <v>81.889584242793134</v>
      </c>
      <c r="T290" s="1">
        <f t="shared" si="85"/>
        <v>0</v>
      </c>
    </row>
    <row r="291" spans="1:20" x14ac:dyDescent="0.25">
      <c r="A291" s="20">
        <f t="shared" si="80"/>
        <v>2.859999999999983</v>
      </c>
      <c r="C291" s="20">
        <f t="shared" si="70"/>
        <v>28.62704071787023</v>
      </c>
      <c r="D291" s="20">
        <f t="shared" si="73"/>
        <v>0.17603126176068393</v>
      </c>
      <c r="E291" s="20">
        <f t="shared" si="74"/>
        <v>3.8325987755428681</v>
      </c>
      <c r="F291" s="20">
        <f t="shared" si="75"/>
        <v>0.1478662598789745</v>
      </c>
      <c r="G291" s="20">
        <f t="shared" si="76"/>
        <v>3.2193829714560094</v>
      </c>
      <c r="I291" s="20">
        <f t="shared" si="71"/>
        <v>0.57120212559693717</v>
      </c>
      <c r="K291" s="20">
        <f t="shared" si="81"/>
        <v>24.082545567788529</v>
      </c>
      <c r="L291" s="20">
        <f t="shared" si="72"/>
        <v>-0.22802955760954688</v>
      </c>
      <c r="M291" s="20">
        <f t="shared" si="77"/>
        <v>-4.9647193034954693</v>
      </c>
      <c r="N291" s="1">
        <f t="shared" si="82"/>
        <v>112.72208351494746</v>
      </c>
      <c r="P291" s="20">
        <f t="shared" si="83"/>
        <v>15.47703005224159</v>
      </c>
      <c r="Q291" s="20">
        <f t="shared" si="78"/>
        <v>-0.42135076102664604</v>
      </c>
      <c r="R291" s="20">
        <f t="shared" si="79"/>
        <v>-9.1737592211331602</v>
      </c>
      <c r="S291" s="20">
        <f t="shared" si="84"/>
        <v>82.04481346381715</v>
      </c>
      <c r="T291" s="1">
        <f t="shared" si="85"/>
        <v>0</v>
      </c>
    </row>
    <row r="292" spans="1:20" x14ac:dyDescent="0.25">
      <c r="A292" s="20">
        <f t="shared" si="80"/>
        <v>2.8699999999999828</v>
      </c>
      <c r="C292" s="20">
        <f t="shared" si="70"/>
        <v>28.535721970398733</v>
      </c>
      <c r="D292" s="20">
        <f t="shared" si="73"/>
        <v>0.17490999216314168</v>
      </c>
      <c r="E292" s="20">
        <f t="shared" si="74"/>
        <v>3.8081861999377682</v>
      </c>
      <c r="F292" s="20">
        <f t="shared" si="75"/>
        <v>0.14692439341703903</v>
      </c>
      <c r="G292" s="20">
        <f t="shared" si="76"/>
        <v>3.1988764079477257</v>
      </c>
      <c r="I292" s="20">
        <f t="shared" si="71"/>
        <v>0.56943826679461607</v>
      </c>
      <c r="K292" s="20">
        <f t="shared" si="81"/>
        <v>24.032898374753575</v>
      </c>
      <c r="L292" s="20">
        <f t="shared" si="72"/>
        <v>-0.22652550495567836</v>
      </c>
      <c r="M292" s="20">
        <f t="shared" si="77"/>
        <v>-4.9319726748460342</v>
      </c>
      <c r="N292" s="1">
        <f t="shared" si="82"/>
        <v>112.96266073466016</v>
      </c>
      <c r="P292" s="20">
        <f t="shared" si="83"/>
        <v>15.385292460030259</v>
      </c>
      <c r="Q292" s="20">
        <f t="shared" si="78"/>
        <v>-0.42113729578662074</v>
      </c>
      <c r="R292" s="20">
        <f t="shared" si="79"/>
        <v>-9.1691115999699697</v>
      </c>
      <c r="S292" s="20">
        <f t="shared" si="84"/>
        <v>82.199125076378508</v>
      </c>
      <c r="T292" s="1">
        <f t="shared" si="85"/>
        <v>0</v>
      </c>
    </row>
    <row r="293" spans="1:20" x14ac:dyDescent="0.25">
      <c r="A293" s="20">
        <f t="shared" si="80"/>
        <v>2.8799999999999826</v>
      </c>
      <c r="C293" s="20">
        <f t="shared" si="70"/>
        <v>28.444793668353093</v>
      </c>
      <c r="D293" s="20">
        <f t="shared" si="73"/>
        <v>0.17379707626390548</v>
      </c>
      <c r="E293" s="20">
        <f t="shared" si="74"/>
        <v>3.7839555032420091</v>
      </c>
      <c r="F293" s="20">
        <f t="shared" si="75"/>
        <v>0.1459895440616806</v>
      </c>
      <c r="G293" s="20">
        <f t="shared" si="76"/>
        <v>3.1785226227232877</v>
      </c>
      <c r="I293" s="20">
        <f t="shared" si="71"/>
        <v>0.56765827595139762</v>
      </c>
      <c r="K293" s="20">
        <f t="shared" si="81"/>
        <v>23.983578648005114</v>
      </c>
      <c r="L293" s="20">
        <f t="shared" si="72"/>
        <v>-0.22503175130310071</v>
      </c>
      <c r="M293" s="20">
        <f t="shared" si="77"/>
        <v>-4.8994502787524654</v>
      </c>
      <c r="N293" s="1">
        <f t="shared" si="82"/>
        <v>113.20274311977396</v>
      </c>
      <c r="P293" s="20">
        <f t="shared" si="83"/>
        <v>15.293601344030559</v>
      </c>
      <c r="Q293" s="20">
        <f t="shared" si="78"/>
        <v>-0.42092398974362832</v>
      </c>
      <c r="R293" s="20">
        <f t="shared" si="79"/>
        <v>-9.1644674448863128</v>
      </c>
      <c r="S293" s="20">
        <f t="shared" si="84"/>
        <v>82.352519545398806</v>
      </c>
      <c r="T293" s="1">
        <f t="shared" si="85"/>
        <v>0</v>
      </c>
    </row>
    <row r="294" spans="1:20" x14ac:dyDescent="0.25">
      <c r="A294" s="20">
        <f t="shared" si="80"/>
        <v>2.8899999999999824</v>
      </c>
      <c r="C294" s="20">
        <f t="shared" si="70"/>
        <v>28.354255496985644</v>
      </c>
      <c r="D294" s="20">
        <f t="shared" si="73"/>
        <v>0.17269246447306619</v>
      </c>
      <c r="E294" s="20">
        <f t="shared" si="74"/>
        <v>3.7599056057710905</v>
      </c>
      <c r="F294" s="20">
        <f t="shared" si="75"/>
        <v>0.14506167015737559</v>
      </c>
      <c r="G294" s="20">
        <f t="shared" si="76"/>
        <v>3.1583207088477159</v>
      </c>
      <c r="I294" s="20">
        <f t="shared" si="71"/>
        <v>0.56586210725190866</v>
      </c>
      <c r="K294" s="20">
        <f t="shared" si="81"/>
        <v>23.934584145217588</v>
      </c>
      <c r="L294" s="20">
        <f t="shared" si="72"/>
        <v>-0.22354822707297084</v>
      </c>
      <c r="M294" s="20">
        <f t="shared" si="77"/>
        <v>-4.8671506003259495</v>
      </c>
      <c r="N294" s="1">
        <f t="shared" si="82"/>
        <v>113.44233393374007</v>
      </c>
      <c r="P294" s="20">
        <f t="shared" si="83"/>
        <v>15.201956669581696</v>
      </c>
      <c r="Q294" s="20">
        <f t="shared" si="78"/>
        <v>-0.42071085523805968</v>
      </c>
      <c r="R294" s="20">
        <f t="shared" si="79"/>
        <v>-9.1598270245604105</v>
      </c>
      <c r="S294" s="20">
        <f t="shared" si="84"/>
        <v>82.504997335466868</v>
      </c>
      <c r="T294" s="1">
        <f t="shared" si="85"/>
        <v>0</v>
      </c>
    </row>
    <row r="295" spans="1:20" x14ac:dyDescent="0.25">
      <c r="A295" s="20">
        <f t="shared" si="80"/>
        <v>2.8999999999999821</v>
      </c>
      <c r="C295" s="20">
        <f t="shared" si="70"/>
        <v>28.264107160222938</v>
      </c>
      <c r="D295" s="20">
        <f t="shared" si="73"/>
        <v>0.1715961076726969</v>
      </c>
      <c r="E295" s="20">
        <f t="shared" si="74"/>
        <v>3.7360354381166316</v>
      </c>
      <c r="F295" s="20">
        <f t="shared" si="75"/>
        <v>0.1441407304450654</v>
      </c>
      <c r="G295" s="20">
        <f t="shared" si="76"/>
        <v>3.1382697680179708</v>
      </c>
      <c r="I295" s="20">
        <f t="shared" si="71"/>
        <v>0.56404971494777978</v>
      </c>
      <c r="K295" s="20">
        <f t="shared" si="81"/>
        <v>23.885912639214329</v>
      </c>
      <c r="L295" s="20">
        <f t="shared" si="72"/>
        <v>-0.22207486330577506</v>
      </c>
      <c r="M295" s="20">
        <f t="shared" si="77"/>
        <v>-4.8350721381618778</v>
      </c>
      <c r="N295" s="1">
        <f t="shared" si="82"/>
        <v>113.68143641766224</v>
      </c>
      <c r="P295" s="20">
        <f t="shared" si="83"/>
        <v>15.110358399336091</v>
      </c>
      <c r="Q295" s="20">
        <f t="shared" si="78"/>
        <v>-0.42049790425234418</v>
      </c>
      <c r="R295" s="20">
        <f t="shared" si="79"/>
        <v>-9.1551905998768603</v>
      </c>
      <c r="S295" s="20">
        <f t="shared" si="84"/>
        <v>82.656558910811455</v>
      </c>
      <c r="T295" s="1">
        <f t="shared" si="85"/>
        <v>0</v>
      </c>
    </row>
    <row r="296" spans="1:20" x14ac:dyDescent="0.25">
      <c r="A296" s="20">
        <f t="shared" si="80"/>
        <v>2.9099999999999819</v>
      </c>
      <c r="C296" s="20">
        <f t="shared" si="70"/>
        <v>28.174348380589382</v>
      </c>
      <c r="D296" s="20">
        <f t="shared" si="73"/>
        <v>0.17050795721180076</v>
      </c>
      <c r="E296" s="20">
        <f t="shared" si="74"/>
        <v>3.7123439410363761</v>
      </c>
      <c r="F296" s="20">
        <f t="shared" si="75"/>
        <v>0.14322668405791264</v>
      </c>
      <c r="G296" s="20">
        <f t="shared" si="76"/>
        <v>3.1183689104705561</v>
      </c>
      <c r="I296" s="20">
        <f t="shared" si="71"/>
        <v>0.56222105336983574</v>
      </c>
      <c r="K296" s="20">
        <f t="shared" si="81"/>
        <v>23.837561917832709</v>
      </c>
      <c r="L296" s="20">
        <f t="shared" si="72"/>
        <v>-0.22061159165440822</v>
      </c>
      <c r="M296" s="20">
        <f t="shared" si="77"/>
        <v>-4.8032134041891625</v>
      </c>
      <c r="N296" s="1">
        <f t="shared" si="82"/>
        <v>113.92005379044747</v>
      </c>
      <c r="P296" s="20">
        <f t="shared" si="83"/>
        <v>15.018806493337323</v>
      </c>
      <c r="Q296" s="20">
        <f t="shared" si="78"/>
        <v>-0.42028514841435438</v>
      </c>
      <c r="R296" s="20">
        <f t="shared" si="79"/>
        <v>-9.1505584240007494</v>
      </c>
      <c r="S296" s="20">
        <f t="shared" si="84"/>
        <v>82.807204735274823</v>
      </c>
      <c r="T296" s="1">
        <f t="shared" si="85"/>
        <v>0</v>
      </c>
    </row>
    <row r="297" spans="1:20" x14ac:dyDescent="0.25">
      <c r="A297" s="20">
        <f t="shared" si="80"/>
        <v>2.9199999999999817</v>
      </c>
      <c r="C297" s="20">
        <f t="shared" si="70"/>
        <v>28.084978899130544</v>
      </c>
      <c r="D297" s="20">
        <f t="shared" si="73"/>
        <v>0.16942796490132001</v>
      </c>
      <c r="E297" s="20">
        <f t="shared" si="74"/>
        <v>3.6888300653455262</v>
      </c>
      <c r="F297" s="20">
        <f t="shared" si="75"/>
        <v>0.14231949051710879</v>
      </c>
      <c r="G297" s="20">
        <f t="shared" si="76"/>
        <v>3.0986172548902418</v>
      </c>
      <c r="I297" s="20">
        <f t="shared" si="71"/>
        <v>0.56037607694053693</v>
      </c>
      <c r="K297" s="20">
        <f t="shared" si="81"/>
        <v>23.789529783790815</v>
      </c>
      <c r="L297" s="20">
        <f t="shared" si="72"/>
        <v>-0.21915834437731663</v>
      </c>
      <c r="M297" s="20">
        <f t="shared" si="77"/>
        <v>-4.771572923520937</v>
      </c>
      <c r="N297" s="1">
        <f t="shared" si="82"/>
        <v>114.15818924895558</v>
      </c>
      <c r="P297" s="20">
        <f t="shared" si="83"/>
        <v>14.927300909097315</v>
      </c>
      <c r="Q297" s="20">
        <f t="shared" si="78"/>
        <v>-0.42007259900074695</v>
      </c>
      <c r="R297" s="20">
        <f t="shared" si="79"/>
        <v>-9.1459307424504015</v>
      </c>
      <c r="S297" s="20">
        <f t="shared" si="84"/>
        <v>82.956935272286998</v>
      </c>
      <c r="T297" s="1">
        <f t="shared" si="85"/>
        <v>0</v>
      </c>
    </row>
    <row r="298" spans="1:20" x14ac:dyDescent="0.25">
      <c r="A298" s="20">
        <f t="shared" si="80"/>
        <v>2.9299999999999815</v>
      </c>
      <c r="C298" s="20">
        <f t="shared" si="70"/>
        <v>27.995998475336073</v>
      </c>
      <c r="D298" s="20">
        <f t="shared" si="73"/>
        <v>0.16835608300920452</v>
      </c>
      <c r="E298" s="20">
        <f t="shared" si="74"/>
        <v>3.6654927718093733</v>
      </c>
      <c r="F298" s="20">
        <f t="shared" si="75"/>
        <v>0.14141910972773178</v>
      </c>
      <c r="G298" s="20">
        <f t="shared" si="76"/>
        <v>3.0790139283198732</v>
      </c>
      <c r="I298" s="20">
        <f t="shared" si="71"/>
        <v>0.55851474018667679</v>
      </c>
      <c r="K298" s="20">
        <f t="shared" si="81"/>
        <v>23.741814054555604</v>
      </c>
      <c r="L298" s="20">
        <f t="shared" si="72"/>
        <v>-0.21771505433170332</v>
      </c>
      <c r="M298" s="20">
        <f t="shared" si="77"/>
        <v>-4.7401492343066263</v>
      </c>
      <c r="N298" s="1">
        <f t="shared" si="82"/>
        <v>114.39584596814731</v>
      </c>
      <c r="P298" s="20">
        <f t="shared" si="83"/>
        <v>14.835841601672811</v>
      </c>
      <c r="Q298" s="20">
        <f t="shared" si="78"/>
        <v>-0.41986026694024081</v>
      </c>
      <c r="R298" s="20">
        <f t="shared" si="79"/>
        <v>-9.1413077931687532</v>
      </c>
      <c r="S298" s="20">
        <f t="shared" si="84"/>
        <v>83.105750984840853</v>
      </c>
      <c r="T298" s="1">
        <f t="shared" si="85"/>
        <v>0</v>
      </c>
    </row>
    <row r="299" spans="1:20" x14ac:dyDescent="0.25">
      <c r="A299" s="20">
        <f t="shared" si="80"/>
        <v>2.9399999999999813</v>
      </c>
      <c r="C299" s="20">
        <f t="shared" si="70"/>
        <v>27.907406887062191</v>
      </c>
      <c r="D299" s="20">
        <f t="shared" si="73"/>
        <v>0.16729226425553986</v>
      </c>
      <c r="E299" s="20">
        <f t="shared" si="74"/>
        <v>3.6423310310372279</v>
      </c>
      <c r="F299" s="20">
        <f t="shared" si="75"/>
        <v>0.14052550197465349</v>
      </c>
      <c r="G299" s="20">
        <f t="shared" si="76"/>
        <v>3.0595580660712716</v>
      </c>
      <c r="I299" s="20">
        <f t="shared" si="71"/>
        <v>0.55663699775233688</v>
      </c>
      <c r="K299" s="20">
        <f t="shared" si="81"/>
        <v>23.694412562212538</v>
      </c>
      <c r="L299" s="20">
        <f t="shared" si="72"/>
        <v>-0.21628165496679574</v>
      </c>
      <c r="M299" s="20">
        <f t="shared" si="77"/>
        <v>-4.7089408875853636</v>
      </c>
      <c r="N299" s="1">
        <f t="shared" si="82"/>
        <v>114.63302710123115</v>
      </c>
      <c r="P299" s="20">
        <f t="shared" si="83"/>
        <v>14.744428523741124</v>
      </c>
      <c r="Q299" s="20">
        <f t="shared" si="78"/>
        <v>-0.41964816281683393</v>
      </c>
      <c r="R299" s="20">
        <f t="shared" si="79"/>
        <v>-9.1366898065933793</v>
      </c>
      <c r="S299" s="20">
        <f t="shared" si="84"/>
        <v>83.253652335467933</v>
      </c>
      <c r="T299" s="1">
        <f t="shared" si="85"/>
        <v>0</v>
      </c>
    </row>
    <row r="300" spans="1:20" x14ac:dyDescent="0.25">
      <c r="A300" s="20">
        <f t="shared" si="80"/>
        <v>2.9499999999999811</v>
      </c>
      <c r="C300" s="20">
        <f t="shared" si="70"/>
        <v>27.819203930453657</v>
      </c>
      <c r="D300" s="20">
        <f t="shared" si="73"/>
        <v>0.16623646180773316</v>
      </c>
      <c r="E300" s="20">
        <f t="shared" si="74"/>
        <v>3.6193438233776001</v>
      </c>
      <c r="F300" s="20">
        <f t="shared" si="75"/>
        <v>0.13963862791849585</v>
      </c>
      <c r="G300" s="20">
        <f t="shared" si="76"/>
        <v>3.0402488116371837</v>
      </c>
      <c r="I300" s="20">
        <f t="shared" si="71"/>
        <v>0.55474280441210233</v>
      </c>
      <c r="K300" s="20">
        <f t="shared" si="81"/>
        <v>23.647323153336686</v>
      </c>
      <c r="L300" s="20">
        <f t="shared" si="72"/>
        <v>-0.21485808031717302</v>
      </c>
      <c r="M300" s="20">
        <f t="shared" si="77"/>
        <v>-4.6779464471407151</v>
      </c>
      <c r="N300" s="1">
        <f t="shared" si="82"/>
        <v>114.86973577980891</v>
      </c>
      <c r="P300" s="20">
        <f t="shared" si="83"/>
        <v>14.653061625675191</v>
      </c>
      <c r="Q300" s="20">
        <f t="shared" si="78"/>
        <v>-0.41943629687296002</v>
      </c>
      <c r="R300" s="20">
        <f t="shared" si="79"/>
        <v>-9.1320770057252343</v>
      </c>
      <c r="S300" s="20">
        <f t="shared" si="84"/>
        <v>83.40063978621501</v>
      </c>
      <c r="T300" s="1">
        <f t="shared" si="85"/>
        <v>0</v>
      </c>
    </row>
    <row r="301" spans="1:20" x14ac:dyDescent="0.25">
      <c r="A301" s="20">
        <f t="shared" si="80"/>
        <v>2.9599999999999809</v>
      </c>
      <c r="C301" s="20">
        <f t="shared" ref="C301:C364" si="86">SQRT((K301^2)+(P301^2))</f>
        <v>27.731389419865195</v>
      </c>
      <c r="D301" s="20">
        <f t="shared" si="73"/>
        <v>0.16518862927575612</v>
      </c>
      <c r="E301" s="20">
        <f t="shared" si="74"/>
        <v>3.5965301388146336</v>
      </c>
      <c r="F301" s="20">
        <f t="shared" si="75"/>
        <v>0.13875844859163514</v>
      </c>
      <c r="G301" s="20">
        <f t="shared" si="76"/>
        <v>3.0210853166042924</v>
      </c>
      <c r="I301" s="20">
        <f t="shared" ref="I301:I364" si="87">ATAN(P301/K301)</f>
        <v>0.55283211508454211</v>
      </c>
      <c r="K301" s="20">
        <f t="shared" si="81"/>
        <v>23.60054368886528</v>
      </c>
      <c r="L301" s="20">
        <f t="shared" ref="L301:L364" si="88">-(D301*COS(I301))-(F301*SIN(I301))</f>
        <v>-0.21344426499615324</v>
      </c>
      <c r="M301" s="20">
        <f t="shared" si="77"/>
        <v>-4.6471644893567001</v>
      </c>
      <c r="N301" s="1">
        <f t="shared" si="82"/>
        <v>115.10597511401991</v>
      </c>
      <c r="P301" s="20">
        <f t="shared" si="83"/>
        <v>14.561740855617938</v>
      </c>
      <c r="Q301" s="20">
        <f t="shared" si="78"/>
        <v>-0.41922467901258559</v>
      </c>
      <c r="R301" s="20">
        <f t="shared" si="79"/>
        <v>-9.1274696061960725</v>
      </c>
      <c r="S301" s="20">
        <f t="shared" si="84"/>
        <v>83.546713798621482</v>
      </c>
      <c r="T301" s="1">
        <f t="shared" si="85"/>
        <v>0</v>
      </c>
    </row>
    <row r="302" spans="1:20" x14ac:dyDescent="0.25">
      <c r="A302" s="20">
        <f t="shared" si="80"/>
        <v>2.9699999999999807</v>
      </c>
      <c r="C302" s="20">
        <f t="shared" si="86"/>
        <v>27.643963187782326</v>
      </c>
      <c r="D302" s="20">
        <f t="shared" si="73"/>
        <v>0.16414872070744513</v>
      </c>
      <c r="E302" s="20">
        <f t="shared" si="74"/>
        <v>3.5738889768657769</v>
      </c>
      <c r="F302" s="20">
        <f t="shared" si="75"/>
        <v>0.1378849253942539</v>
      </c>
      <c r="G302" s="20">
        <f t="shared" si="76"/>
        <v>3.0020667405672525</v>
      </c>
      <c r="I302" s="20">
        <f t="shared" si="87"/>
        <v>0.5509048848459549</v>
      </c>
      <c r="K302" s="20">
        <f t="shared" si="81"/>
        <v>23.554072043971711</v>
      </c>
      <c r="L302" s="20">
        <f t="shared" si="88"/>
        <v>-0.21204014418923994</v>
      </c>
      <c r="M302" s="20">
        <f t="shared" si="77"/>
        <v>-4.6165936030751134</v>
      </c>
      <c r="N302" s="1">
        <f t="shared" si="82"/>
        <v>115.34174819268409</v>
      </c>
      <c r="P302" s="20">
        <f t="shared" si="83"/>
        <v>14.470466159555977</v>
      </c>
      <c r="Q302" s="20">
        <f t="shared" si="78"/>
        <v>-0.41901331880424947</v>
      </c>
      <c r="R302" s="20">
        <f t="shared" si="79"/>
        <v>-9.1228678163346277</v>
      </c>
      <c r="S302" s="20">
        <f t="shared" si="84"/>
        <v>83.691874833697355</v>
      </c>
      <c r="T302" s="1">
        <f t="shared" si="85"/>
        <v>0</v>
      </c>
    </row>
    <row r="303" spans="1:20" x14ac:dyDescent="0.25">
      <c r="A303" s="20">
        <f t="shared" si="80"/>
        <v>2.9799999999999804</v>
      </c>
      <c r="C303" s="20">
        <f t="shared" si="86"/>
        <v>27.556925084741486</v>
      </c>
      <c r="D303" s="20">
        <f t="shared" si="73"/>
        <v>0.16311669058385592</v>
      </c>
      <c r="E303" s="20">
        <f t="shared" si="74"/>
        <v>3.5514193464806429</v>
      </c>
      <c r="F303" s="20">
        <f t="shared" si="75"/>
        <v>0.13701802009043898</v>
      </c>
      <c r="G303" s="20">
        <f t="shared" si="76"/>
        <v>2.9831922510437403</v>
      </c>
      <c r="I303" s="20">
        <f t="shared" si="87"/>
        <v>0.54896106894438557</v>
      </c>
      <c r="K303" s="20">
        <f t="shared" si="81"/>
        <v>23.507906107940961</v>
      </c>
      <c r="L303" s="20">
        <f t="shared" si="88"/>
        <v>-0.2106456536476245</v>
      </c>
      <c r="M303" s="20">
        <f t="shared" si="77"/>
        <v>-4.5862323894540493</v>
      </c>
      <c r="N303" s="1">
        <f t="shared" si="82"/>
        <v>115.57705808344366</v>
      </c>
      <c r="P303" s="20">
        <f t="shared" si="83"/>
        <v>14.37923748139263</v>
      </c>
      <c r="Q303" s="20">
        <f t="shared" si="78"/>
        <v>-0.41880222548404533</v>
      </c>
      <c r="R303" s="20">
        <f t="shared" si="79"/>
        <v>-9.1182718372315552</v>
      </c>
      <c r="S303" s="20">
        <f t="shared" si="84"/>
        <v>83.836123351902089</v>
      </c>
      <c r="T303" s="1">
        <f t="shared" si="85"/>
        <v>0</v>
      </c>
    </row>
    <row r="304" spans="1:20" x14ac:dyDescent="0.25">
      <c r="A304" s="20">
        <f t="shared" si="80"/>
        <v>2.9899999999999802</v>
      </c>
      <c r="C304" s="20">
        <f t="shared" si="86"/>
        <v>27.47027497924946</v>
      </c>
      <c r="D304" s="20">
        <f t="shared" si="73"/>
        <v>0.16209249381467386</v>
      </c>
      <c r="E304" s="20">
        <f t="shared" si="74"/>
        <v>3.5291202659410814</v>
      </c>
      <c r="F304" s="20">
        <f t="shared" si="75"/>
        <v>0.13615769480432605</v>
      </c>
      <c r="G304" s="20">
        <f t="shared" si="76"/>
        <v>2.9644610233905082</v>
      </c>
      <c r="I304" s="20">
        <f t="shared" si="87"/>
        <v>0.54700062281391326</v>
      </c>
      <c r="K304" s="20">
        <f t="shared" si="81"/>
        <v>23.462043784046422</v>
      </c>
      <c r="L304" s="20">
        <f t="shared" si="88"/>
        <v>-0.20926072968174664</v>
      </c>
      <c r="M304" s="20">
        <f t="shared" si="77"/>
        <v>-4.5560794618277081</v>
      </c>
      <c r="N304" s="1">
        <f t="shared" si="82"/>
        <v>115.81190783290359</v>
      </c>
      <c r="P304" s="20">
        <f t="shared" si="83"/>
        <v>14.288054763020314</v>
      </c>
      <c r="Q304" s="20">
        <f t="shared" si="78"/>
        <v>-0.41859140795854877</v>
      </c>
      <c r="R304" s="20">
        <f t="shared" si="79"/>
        <v>-9.1136818628031513</v>
      </c>
      <c r="S304" s="20">
        <f t="shared" si="84"/>
        <v>83.979459813124151</v>
      </c>
      <c r="T304" s="1">
        <f t="shared" si="85"/>
        <v>0</v>
      </c>
    </row>
    <row r="305" spans="1:20" x14ac:dyDescent="0.25">
      <c r="A305" s="20">
        <f t="shared" si="80"/>
        <v>2.99999999999998</v>
      </c>
      <c r="C305" s="20">
        <f t="shared" si="86"/>
        <v>27.384012757701985</v>
      </c>
      <c r="D305" s="20">
        <f t="shared" si="73"/>
        <v>0.16107608573367727</v>
      </c>
      <c r="E305" s="20">
        <f t="shared" si="74"/>
        <v>3.5069907627624053</v>
      </c>
      <c r="F305" s="20">
        <f t="shared" si="75"/>
        <v>0.13530391201628891</v>
      </c>
      <c r="G305" s="20">
        <f t="shared" si="76"/>
        <v>2.9458722407204205</v>
      </c>
      <c r="I305" s="20">
        <f t="shared" si="87"/>
        <v>0.5450235020892148</v>
      </c>
      <c r="K305" s="20">
        <f t="shared" si="81"/>
        <v>23.416482989428143</v>
      </c>
      <c r="L305" s="20">
        <f t="shared" si="88"/>
        <v>-0.20788530915490899</v>
      </c>
      <c r="M305" s="20">
        <f t="shared" si="77"/>
        <v>-4.5261334455673632</v>
      </c>
      <c r="N305" s="1">
        <f t="shared" si="82"/>
        <v>116.04630046677096</v>
      </c>
      <c r="P305" s="20">
        <f t="shared" si="83"/>
        <v>14.196917944392283</v>
      </c>
      <c r="Q305" s="20">
        <f t="shared" si="78"/>
        <v>-0.41838087480768943</v>
      </c>
      <c r="R305" s="20">
        <f t="shared" si="79"/>
        <v>-9.1090980798538954</v>
      </c>
      <c r="S305" s="20">
        <f t="shared" si="84"/>
        <v>84.12188467666121</v>
      </c>
      <c r="T305" s="1">
        <f t="shared" si="85"/>
        <v>0</v>
      </c>
    </row>
    <row r="306" spans="1:20" x14ac:dyDescent="0.25">
      <c r="A306" s="20">
        <f t="shared" si="80"/>
        <v>3.0099999999999798</v>
      </c>
      <c r="C306" s="20">
        <f t="shared" si="86"/>
        <v>27.298138324301572</v>
      </c>
      <c r="D306" s="20">
        <f t="shared" si="73"/>
        <v>0.16006742209425492</v>
      </c>
      <c r="E306" s="20">
        <f t="shared" si="74"/>
        <v>3.4850298735957965</v>
      </c>
      <c r="F306" s="20">
        <f t="shared" si="75"/>
        <v>0.13445663455917412</v>
      </c>
      <c r="G306" s="20">
        <f t="shared" si="76"/>
        <v>2.9274250938204687</v>
      </c>
      <c r="I306" s="20">
        <f t="shared" si="87"/>
        <v>0.54302966262040564</v>
      </c>
      <c r="K306" s="20">
        <f t="shared" si="81"/>
        <v>23.371221654972469</v>
      </c>
      <c r="L306" s="20">
        <f t="shared" si="88"/>
        <v>-0.20651932947694801</v>
      </c>
      <c r="M306" s="20">
        <f t="shared" si="77"/>
        <v>-4.4963929779435663</v>
      </c>
      <c r="N306" s="1">
        <f t="shared" si="82"/>
        <v>116.28023898999297</v>
      </c>
      <c r="P306" s="20">
        <f t="shared" si="83"/>
        <v>14.105826963593744</v>
      </c>
      <c r="Q306" s="20">
        <f t="shared" si="78"/>
        <v>-0.4181706342875704</v>
      </c>
      <c r="R306" s="20">
        <f t="shared" si="79"/>
        <v>-9.1045206681378268</v>
      </c>
      <c r="S306" s="20">
        <f t="shared" si="84"/>
        <v>84.26339840120113</v>
      </c>
      <c r="T306" s="1">
        <f t="shared" si="85"/>
        <v>0</v>
      </c>
    </row>
    <row r="307" spans="1:20" x14ac:dyDescent="0.25">
      <c r="A307" s="20">
        <f t="shared" si="80"/>
        <v>3.0199999999999796</v>
      </c>
      <c r="C307" s="20">
        <f t="shared" si="86"/>
        <v>27.21265160097434</v>
      </c>
      <c r="D307" s="20">
        <f t="shared" si="73"/>
        <v>0.15906645906497455</v>
      </c>
      <c r="E307" s="20">
        <f t="shared" si="74"/>
        <v>3.4632366441318214</v>
      </c>
      <c r="F307" s="20">
        <f t="shared" si="75"/>
        <v>0.13361582561457863</v>
      </c>
      <c r="G307" s="20">
        <f t="shared" si="76"/>
        <v>2.9091187810707302</v>
      </c>
      <c r="I307" s="20">
        <f t="shared" si="87"/>
        <v>0.54101906048816051</v>
      </c>
      <c r="K307" s="20">
        <f t="shared" si="81"/>
        <v>23.326257725193035</v>
      </c>
      <c r="L307" s="20">
        <f t="shared" si="88"/>
        <v>-0.20516272859795648</v>
      </c>
      <c r="M307" s="20">
        <f t="shared" si="77"/>
        <v>-4.4668567079894732</v>
      </c>
      <c r="N307" s="1">
        <f t="shared" si="82"/>
        <v>116.51372638689379</v>
      </c>
      <c r="P307" s="20">
        <f t="shared" si="83"/>
        <v>14.014781756912365</v>
      </c>
      <c r="Q307" s="20">
        <f t="shared" si="78"/>
        <v>-0.41796069433323424</v>
      </c>
      <c r="R307" s="20">
        <f t="shared" si="79"/>
        <v>-9.0999498004187735</v>
      </c>
      <c r="S307" s="20">
        <f t="shared" si="84"/>
        <v>84.404001444803654</v>
      </c>
      <c r="T307" s="1">
        <f t="shared" si="85"/>
        <v>0</v>
      </c>
    </row>
    <row r="308" spans="1:20" x14ac:dyDescent="0.25">
      <c r="A308" s="20">
        <f t="shared" si="80"/>
        <v>3.0299999999999794</v>
      </c>
      <c r="C308" s="20">
        <f t="shared" si="86"/>
        <v>27.127552527285932</v>
      </c>
      <c r="D308" s="20">
        <f t="shared" si="73"/>
        <v>0.15807315322520374</v>
      </c>
      <c r="E308" s="20">
        <f t="shared" si="74"/>
        <v>3.4416101290050891</v>
      </c>
      <c r="F308" s="20">
        <f t="shared" si="75"/>
        <v>0.13278144870917113</v>
      </c>
      <c r="G308" s="20">
        <f t="shared" si="76"/>
        <v>2.8909525083642746</v>
      </c>
      <c r="I308" s="20">
        <f t="shared" si="87"/>
        <v>0.53899165201911803</v>
      </c>
      <c r="K308" s="20">
        <f t="shared" si="81"/>
        <v>23.281589158113139</v>
      </c>
      <c r="L308" s="20">
        <f t="shared" si="88"/>
        <v>-0.20381544500206017</v>
      </c>
      <c r="M308" s="20">
        <f t="shared" si="77"/>
        <v>-4.4375232963653426</v>
      </c>
      <c r="N308" s="1">
        <f t="shared" si="82"/>
        <v>116.74676562131033</v>
      </c>
      <c r="P308" s="20">
        <f t="shared" si="83"/>
        <v>13.923782258908178</v>
      </c>
      <c r="Q308" s="20">
        <f t="shared" si="78"/>
        <v>-0.4177510625613795</v>
      </c>
      <c r="R308" s="20">
        <f t="shared" si="79"/>
        <v>-9.0953856425294912</v>
      </c>
      <c r="S308" s="20">
        <f t="shared" si="84"/>
        <v>84.54369426488276</v>
      </c>
      <c r="T308" s="1">
        <f t="shared" si="85"/>
        <v>0</v>
      </c>
    </row>
    <row r="309" spans="1:20" x14ac:dyDescent="0.25">
      <c r="A309" s="20">
        <f t="shared" si="80"/>
        <v>3.0399999999999792</v>
      </c>
      <c r="C309" s="20">
        <f t="shared" si="86"/>
        <v>27.042841060356405</v>
      </c>
      <c r="D309" s="20">
        <f t="shared" si="73"/>
        <v>0.15708746156078127</v>
      </c>
      <c r="E309" s="20">
        <f t="shared" si="74"/>
        <v>3.4201493917000061</v>
      </c>
      <c r="F309" s="20">
        <f t="shared" si="75"/>
        <v>0.13195346771105626</v>
      </c>
      <c r="G309" s="20">
        <f t="shared" si="76"/>
        <v>2.8729254890280047</v>
      </c>
      <c r="I309" s="20">
        <f t="shared" si="87"/>
        <v>0.53694739380156831</v>
      </c>
      <c r="K309" s="20">
        <f t="shared" si="81"/>
        <v>23.237213925149486</v>
      </c>
      <c r="L309" s="20">
        <f t="shared" si="88"/>
        <v>-0.20247741770124555</v>
      </c>
      <c r="M309" s="20">
        <f t="shared" si="77"/>
        <v>-4.4083914152241572</v>
      </c>
      <c r="N309" s="1">
        <f t="shared" si="82"/>
        <v>116.97935963672664</v>
      </c>
      <c r="P309" s="20">
        <f t="shared" si="83"/>
        <v>13.832828402482884</v>
      </c>
      <c r="Q309" s="20">
        <f t="shared" si="78"/>
        <v>-0.41754174627302509</v>
      </c>
      <c r="R309" s="20">
        <f t="shared" si="79"/>
        <v>-9.0908283534296785</v>
      </c>
      <c r="S309" s="20">
        <f t="shared" si="84"/>
        <v>84.682477318189711</v>
      </c>
      <c r="T309" s="1">
        <f t="shared" si="85"/>
        <v>0</v>
      </c>
    </row>
    <row r="310" spans="1:20" x14ac:dyDescent="0.25">
      <c r="A310" s="20">
        <f t="shared" si="80"/>
        <v>3.049999999999979</v>
      </c>
      <c r="C310" s="20">
        <f t="shared" si="86"/>
        <v>26.958517174774002</v>
      </c>
      <c r="D310" s="20">
        <f t="shared" si="73"/>
        <v>0.15610934145973829</v>
      </c>
      <c r="E310" s="20">
        <f t="shared" si="74"/>
        <v>3.3988535044576156</v>
      </c>
      <c r="F310" s="20">
        <f t="shared" si="75"/>
        <v>0.13113184682618018</v>
      </c>
      <c r="G310" s="20">
        <f t="shared" si="76"/>
        <v>2.8550369437443974</v>
      </c>
      <c r="I310" s="20">
        <f t="shared" si="87"/>
        <v>0.53488624270143059</v>
      </c>
      <c r="K310" s="20">
        <f t="shared" si="81"/>
        <v>23.193130010997244</v>
      </c>
      <c r="L310" s="20">
        <f t="shared" si="88"/>
        <v>-0.20114858622923873</v>
      </c>
      <c r="M310" s="20">
        <f t="shared" si="77"/>
        <v>-4.3794597480783528</v>
      </c>
      <c r="N310" s="1">
        <f t="shared" si="82"/>
        <v>117.21151135640737</v>
      </c>
      <c r="P310" s="20">
        <f t="shared" si="83"/>
        <v>13.741920118948586</v>
      </c>
      <c r="Q310" s="20">
        <f t="shared" si="78"/>
        <v>-0.41733275245612744</v>
      </c>
      <c r="R310" s="20">
        <f t="shared" si="79"/>
        <v>-9.0862780852629541</v>
      </c>
      <c r="S310" s="20">
        <f t="shared" si="84"/>
        <v>84.820351060796867</v>
      </c>
      <c r="T310" s="1">
        <f t="shared" si="85"/>
        <v>0</v>
      </c>
    </row>
    <row r="311" spans="1:20" x14ac:dyDescent="0.25">
      <c r="A311" s="20">
        <f t="shared" si="80"/>
        <v>3.0599999999999787</v>
      </c>
      <c r="C311" s="20">
        <f t="shared" si="86"/>
        <v>26.874580862507806</v>
      </c>
      <c r="D311" s="20">
        <f t="shared" si="73"/>
        <v>0.1551387507080691</v>
      </c>
      <c r="E311" s="20">
        <f t="shared" si="74"/>
        <v>3.3777215481835206</v>
      </c>
      <c r="F311" s="20">
        <f t="shared" si="75"/>
        <v>0.13031655059477806</v>
      </c>
      <c r="G311" s="20">
        <f t="shared" si="76"/>
        <v>2.8372861004741576</v>
      </c>
      <c r="I311" s="20">
        <f t="shared" si="87"/>
        <v>0.5328081558785176</v>
      </c>
      <c r="K311" s="20">
        <f t="shared" si="81"/>
        <v>23.149335413516461</v>
      </c>
      <c r="L311" s="20">
        <f t="shared" si="88"/>
        <v>-0.19982889063543416</v>
      </c>
      <c r="M311" s="20">
        <f t="shared" si="77"/>
        <v>-4.3507269896676286</v>
      </c>
      <c r="N311" s="1">
        <f t="shared" si="82"/>
        <v>117.44322368352995</v>
      </c>
      <c r="P311" s="20">
        <f t="shared" si="83"/>
        <v>13.651057338095956</v>
      </c>
      <c r="Q311" s="20">
        <f t="shared" si="78"/>
        <v>-0.4171240877881488</v>
      </c>
      <c r="R311" s="20">
        <f t="shared" si="79"/>
        <v>-9.0817349834127761</v>
      </c>
      <c r="S311" s="20">
        <f t="shared" si="84"/>
        <v>84.957315948082098</v>
      </c>
      <c r="T311" s="1">
        <f t="shared" si="85"/>
        <v>0</v>
      </c>
    </row>
    <row r="312" spans="1:20" x14ac:dyDescent="0.25">
      <c r="A312" s="20">
        <f t="shared" si="80"/>
        <v>3.0699999999999785</v>
      </c>
      <c r="C312" s="20">
        <f t="shared" si="86"/>
        <v>26.791032132819133</v>
      </c>
      <c r="D312" s="20">
        <f t="shared" si="73"/>
        <v>0.15417564748554957</v>
      </c>
      <c r="E312" s="20">
        <f t="shared" si="74"/>
        <v>3.3567526123568383</v>
      </c>
      <c r="F312" s="20">
        <f t="shared" si="75"/>
        <v>0.12950754388786165</v>
      </c>
      <c r="G312" s="20">
        <f t="shared" si="76"/>
        <v>2.819672194379744</v>
      </c>
      <c r="I312" s="20">
        <f t="shared" si="87"/>
        <v>0.53071309080309381</v>
      </c>
      <c r="K312" s="20">
        <f t="shared" si="81"/>
        <v>23.105828143619785</v>
      </c>
      <c r="L312" s="20">
        <f t="shared" si="88"/>
        <v>-0.19851827147887191</v>
      </c>
      <c r="M312" s="20">
        <f t="shared" si="77"/>
        <v>-4.322191845827823</v>
      </c>
      <c r="N312" s="1">
        <f t="shared" si="82"/>
        <v>117.67449950131564</v>
      </c>
      <c r="P312" s="20">
        <f t="shared" si="83"/>
        <v>13.560239988261829</v>
      </c>
      <c r="Q312" s="20">
        <f t="shared" si="78"/>
        <v>-0.41691575863857899</v>
      </c>
      <c r="R312" s="20">
        <f t="shared" si="79"/>
        <v>-9.0771991865573476</v>
      </c>
      <c r="S312" s="20">
        <f t="shared" si="84"/>
        <v>85.093372434713885</v>
      </c>
      <c r="T312" s="1">
        <f t="shared" si="85"/>
        <v>0</v>
      </c>
    </row>
    <row r="313" spans="1:20" x14ac:dyDescent="0.25">
      <c r="A313" s="20">
        <f t="shared" si="80"/>
        <v>3.0799999999999783</v>
      </c>
      <c r="C313" s="20">
        <f t="shared" si="86"/>
        <v>26.707871012171697</v>
      </c>
      <c r="D313" s="20">
        <f t="shared" si="73"/>
        <v>0.15321999036160436</v>
      </c>
      <c r="E313" s="20">
        <f t="shared" si="74"/>
        <v>3.3359457949402214</v>
      </c>
      <c r="F313" s="20">
        <f t="shared" si="75"/>
        <v>0.12870479190374767</v>
      </c>
      <c r="G313" s="20">
        <f t="shared" si="76"/>
        <v>2.8021944677497861</v>
      </c>
      <c r="I313" s="20">
        <f t="shared" si="87"/>
        <v>0.52860100527272669</v>
      </c>
      <c r="K313" s="20">
        <f t="shared" si="81"/>
        <v>23.062606225161506</v>
      </c>
      <c r="L313" s="20">
        <f t="shared" si="88"/>
        <v>-0.19721666982226438</v>
      </c>
      <c r="M313" s="20">
        <f t="shared" si="77"/>
        <v>-4.293853033360862</v>
      </c>
      <c r="N313" s="1">
        <f t="shared" si="82"/>
        <v>117.90534167315954</v>
      </c>
      <c r="P313" s="20">
        <f t="shared" si="83"/>
        <v>13.469467996396256</v>
      </c>
      <c r="Q313" s="20">
        <f t="shared" si="78"/>
        <v>-0.41670777107141133</v>
      </c>
      <c r="R313" s="20">
        <f t="shared" si="79"/>
        <v>-9.0726708267235221</v>
      </c>
      <c r="S313" s="20">
        <f t="shared" si="84"/>
        <v>85.228520974637178</v>
      </c>
      <c r="T313" s="1">
        <f t="shared" si="85"/>
        <v>0</v>
      </c>
    </row>
    <row r="314" spans="1:20" x14ac:dyDescent="0.25">
      <c r="A314" s="20">
        <f t="shared" si="80"/>
        <v>3.0899999999999781</v>
      </c>
      <c r="C314" s="20">
        <f t="shared" si="86"/>
        <v>26.625097544140402</v>
      </c>
      <c r="D314" s="20">
        <f t="shared" si="73"/>
        <v>0.15227173829122026</v>
      </c>
      <c r="E314" s="20">
        <f t="shared" si="74"/>
        <v>3.3153002022908833</v>
      </c>
      <c r="F314" s="20">
        <f t="shared" si="75"/>
        <v>0.127908260164625</v>
      </c>
      <c r="G314" s="20">
        <f t="shared" si="76"/>
        <v>2.7848521699243416</v>
      </c>
      <c r="I314" s="20">
        <f t="shared" si="87"/>
        <v>0.5264718574294327</v>
      </c>
      <c r="K314" s="20">
        <f t="shared" si="81"/>
        <v>23.019667694827898</v>
      </c>
      <c r="L314" s="20">
        <f t="shared" si="88"/>
        <v>-0.19592402722606905</v>
      </c>
      <c r="M314" s="20">
        <f t="shared" si="77"/>
        <v>-4.2657092799057059</v>
      </c>
      <c r="N314" s="1">
        <f t="shared" si="82"/>
        <v>118.13575304275949</v>
      </c>
      <c r="P314" s="20">
        <f t="shared" si="83"/>
        <v>13.378741288129021</v>
      </c>
      <c r="Q314" s="20">
        <f t="shared" si="78"/>
        <v>-0.41650013084757409</v>
      </c>
      <c r="R314" s="20">
        <f t="shared" si="79"/>
        <v>-9.068150029339737</v>
      </c>
      <c r="S314" s="20">
        <f t="shared" si="84"/>
        <v>85.362762021059794</v>
      </c>
      <c r="T314" s="1">
        <f t="shared" si="85"/>
        <v>0</v>
      </c>
    </row>
    <row r="315" spans="1:20" x14ac:dyDescent="0.25">
      <c r="A315" s="20">
        <f t="shared" si="80"/>
        <v>3.0999999999999779</v>
      </c>
      <c r="C315" s="20">
        <f t="shared" si="86"/>
        <v>26.542711789318737</v>
      </c>
      <c r="D315" s="20">
        <f t="shared" si="73"/>
        <v>0.1513308506109064</v>
      </c>
      <c r="E315" s="20">
        <f t="shared" si="74"/>
        <v>3.2948149490726411</v>
      </c>
      <c r="F315" s="20">
        <f t="shared" si="75"/>
        <v>0.12711791451316137</v>
      </c>
      <c r="G315" s="20">
        <f t="shared" si="76"/>
        <v>2.7676445572210184</v>
      </c>
      <c r="I315" s="20">
        <f t="shared" si="87"/>
        <v>0.52432560577712251</v>
      </c>
      <c r="K315" s="20">
        <f t="shared" si="81"/>
        <v>22.977010602028841</v>
      </c>
      <c r="L315" s="20">
        <f t="shared" si="88"/>
        <v>-0.19464028574260858</v>
      </c>
      <c r="M315" s="20">
        <f t="shared" si="77"/>
        <v>-4.2377593238103328</v>
      </c>
      <c r="N315" s="1">
        <f t="shared" si="82"/>
        <v>118.36573643424377</v>
      </c>
      <c r="P315" s="20">
        <f t="shared" si="83"/>
        <v>13.288059787835623</v>
      </c>
      <c r="Q315" s="20">
        <f t="shared" si="78"/>
        <v>-0.41629284342731787</v>
      </c>
      <c r="R315" s="20">
        <f t="shared" si="79"/>
        <v>-9.0636369132880006</v>
      </c>
      <c r="S315" s="20">
        <f t="shared" si="84"/>
        <v>85.496096026439616</v>
      </c>
      <c r="T315" s="1">
        <f t="shared" si="85"/>
        <v>0</v>
      </c>
    </row>
    <row r="316" spans="1:20" x14ac:dyDescent="0.25">
      <c r="A316" s="20">
        <f t="shared" si="80"/>
        <v>3.1099999999999777</v>
      </c>
      <c r="C316" s="20">
        <f t="shared" si="86"/>
        <v>26.460713825224694</v>
      </c>
      <c r="D316" s="20">
        <f t="shared" si="73"/>
        <v>0.15039728703469976</v>
      </c>
      <c r="E316" s="20">
        <f t="shared" si="74"/>
        <v>3.2744891581689477</v>
      </c>
      <c r="F316" s="20">
        <f t="shared" si="75"/>
        <v>0.12633372110914778</v>
      </c>
      <c r="G316" s="20">
        <f t="shared" si="76"/>
        <v>2.7505708928619157</v>
      </c>
      <c r="I316" s="20">
        <f t="shared" si="87"/>
        <v>0.52216220919934364</v>
      </c>
      <c r="K316" s="20">
        <f t="shared" si="81"/>
        <v>22.934633008790737</v>
      </c>
      <c r="L316" s="20">
        <f t="shared" si="88"/>
        <v>-0.19336538791023639</v>
      </c>
      <c r="M316" s="20">
        <f t="shared" si="77"/>
        <v>-4.2100019140047111</v>
      </c>
      <c r="N316" s="1">
        <f t="shared" si="82"/>
        <v>118.59529465229787</v>
      </c>
      <c r="P316" s="20">
        <f t="shared" si="83"/>
        <v>13.197423418702742</v>
      </c>
      <c r="Q316" s="20">
        <f t="shared" si="78"/>
        <v>-0.41608591397256089</v>
      </c>
      <c r="R316" s="20">
        <f t="shared" si="79"/>
        <v>-9.0591315909549515</v>
      </c>
      <c r="S316" s="20">
        <f t="shared" si="84"/>
        <v>85.6285234424723</v>
      </c>
      <c r="T316" s="1">
        <f t="shared" si="85"/>
        <v>0</v>
      </c>
    </row>
    <row r="317" spans="1:20" x14ac:dyDescent="0.25">
      <c r="A317" s="20">
        <f t="shared" si="80"/>
        <v>3.1199999999999775</v>
      </c>
      <c r="C317" s="20">
        <f t="shared" si="86"/>
        <v>26.379103746205164</v>
      </c>
      <c r="D317" s="20">
        <f t="shared" si="73"/>
        <v>0.14947100765021576</v>
      </c>
      <c r="E317" s="20">
        <f t="shared" si="74"/>
        <v>3.2543219605969034</v>
      </c>
      <c r="F317" s="20">
        <f t="shared" si="75"/>
        <v>0.12555564642618122</v>
      </c>
      <c r="G317" s="20">
        <f t="shared" si="76"/>
        <v>2.7336304469013983</v>
      </c>
      <c r="I317" s="20">
        <f t="shared" si="87"/>
        <v>0.51998162697732497</v>
      </c>
      <c r="K317" s="20">
        <f t="shared" si="81"/>
        <v>22.89253298965069</v>
      </c>
      <c r="L317" s="20">
        <f t="shared" si="88"/>
        <v>-0.19209927674754695</v>
      </c>
      <c r="M317" s="20">
        <f t="shared" si="77"/>
        <v>-4.1824358098747432</v>
      </c>
      <c r="N317" s="1">
        <f t="shared" si="82"/>
        <v>118.82443048229007</v>
      </c>
      <c r="P317" s="20">
        <f t="shared" si="83"/>
        <v>13.106832102793193</v>
      </c>
      <c r="Q317" s="20">
        <f t="shared" si="78"/>
        <v>-0.41587934734919269</v>
      </c>
      <c r="R317" s="20">
        <f t="shared" si="79"/>
        <v>-9.0546341682820088</v>
      </c>
      <c r="S317" s="20">
        <f t="shared" si="84"/>
        <v>85.760044720079776</v>
      </c>
      <c r="T317" s="1">
        <f t="shared" si="85"/>
        <v>0</v>
      </c>
    </row>
    <row r="318" spans="1:20" x14ac:dyDescent="0.25">
      <c r="A318" s="20">
        <f t="shared" si="80"/>
        <v>3.1299999999999772</v>
      </c>
      <c r="C318" s="20">
        <f t="shared" si="86"/>
        <v>26.297881663338721</v>
      </c>
      <c r="D318" s="20">
        <f t="shared" si="73"/>
        <v>0.14855197291474301</v>
      </c>
      <c r="E318" s="20">
        <f t="shared" si="74"/>
        <v>3.2343124954222295</v>
      </c>
      <c r="F318" s="20">
        <f t="shared" si="75"/>
        <v>0.12478365724838412</v>
      </c>
      <c r="G318" s="20">
        <f t="shared" si="76"/>
        <v>2.716822496154673</v>
      </c>
      <c r="I318" s="20">
        <f t="shared" si="87"/>
        <v>0.51778381880832236</v>
      </c>
      <c r="K318" s="20">
        <f t="shared" si="81"/>
        <v>22.850708631551942</v>
      </c>
      <c r="L318" s="20">
        <f t="shared" si="88"/>
        <v>-0.19084189574763033</v>
      </c>
      <c r="M318" s="20">
        <f t="shared" si="77"/>
        <v>-4.1550597811371723</v>
      </c>
      <c r="N318" s="1">
        <f t="shared" si="82"/>
        <v>119.05314669039609</v>
      </c>
      <c r="P318" s="20">
        <f t="shared" si="83"/>
        <v>13.016285761110373</v>
      </c>
      <c r="Q318" s="20">
        <f t="shared" si="78"/>
        <v>-0.41567314812933692</v>
      </c>
      <c r="R318" s="20">
        <f t="shared" si="79"/>
        <v>-9.0501447448146521</v>
      </c>
      <c r="S318" s="20">
        <f t="shared" si="84"/>
        <v>85.89066030939928</v>
      </c>
      <c r="T318" s="1">
        <f t="shared" si="85"/>
        <v>0</v>
      </c>
    </row>
    <row r="319" spans="1:20" x14ac:dyDescent="0.25">
      <c r="A319" s="20">
        <f t="shared" si="80"/>
        <v>3.139999999999977</v>
      </c>
      <c r="C319" s="20">
        <f t="shared" si="86"/>
        <v>26.217047704336743</v>
      </c>
      <c r="D319" s="20">
        <f t="shared" si="73"/>
        <v>0.14764014365138189</v>
      </c>
      <c r="E319" s="20">
        <f t="shared" si="74"/>
        <v>3.2144599096751993</v>
      </c>
      <c r="F319" s="20">
        <f t="shared" si="75"/>
        <v>0.12401772066716078</v>
      </c>
      <c r="G319" s="20">
        <f t="shared" si="76"/>
        <v>2.700146324127167</v>
      </c>
      <c r="I319" s="20">
        <f t="shared" si="87"/>
        <v>0.51556874482426851</v>
      </c>
      <c r="K319" s="20">
        <f t="shared" si="81"/>
        <v>22.809158033740569</v>
      </c>
      <c r="L319" s="20">
        <f t="shared" si="88"/>
        <v>-0.18959318887237037</v>
      </c>
      <c r="M319" s="20">
        <f t="shared" si="77"/>
        <v>-4.1278726077154451</v>
      </c>
      <c r="N319" s="1">
        <f t="shared" si="82"/>
        <v>119.28144602372255</v>
      </c>
      <c r="P319" s="20">
        <f t="shared" si="83"/>
        <v>12.925784313662227</v>
      </c>
      <c r="Q319" s="20">
        <f t="shared" si="78"/>
        <v>-0.4154673205935755</v>
      </c>
      <c r="R319" s="20">
        <f t="shared" si="79"/>
        <v>-9.0456634137508267</v>
      </c>
      <c r="S319" s="20">
        <f t="shared" si="84"/>
        <v>86.020370659773135</v>
      </c>
      <c r="T319" s="1">
        <f t="shared" si="85"/>
        <v>0</v>
      </c>
    </row>
    <row r="320" spans="1:20" x14ac:dyDescent="0.25">
      <c r="A320" s="20">
        <f t="shared" si="80"/>
        <v>3.1499999999999768</v>
      </c>
      <c r="C320" s="20">
        <f t="shared" si="86"/>
        <v>26.136602013442779</v>
      </c>
      <c r="D320" s="20">
        <f t="shared" si="73"/>
        <v>0.14673548104522541</v>
      </c>
      <c r="E320" s="20">
        <f t="shared" si="74"/>
        <v>3.194763358267481</v>
      </c>
      <c r="F320" s="20">
        <f t="shared" si="75"/>
        <v>0.12325780407798935</v>
      </c>
      <c r="G320" s="20">
        <f t="shared" si="76"/>
        <v>2.6836012209446842</v>
      </c>
      <c r="I320" s="20">
        <f t="shared" si="87"/>
        <v>0.5133363656107266</v>
      </c>
      <c r="K320" s="20">
        <f t="shared" si="81"/>
        <v>22.767879307663414</v>
      </c>
      <c r="L320" s="20">
        <f t="shared" si="88"/>
        <v>-0.18835310054678442</v>
      </c>
      <c r="M320" s="20">
        <f t="shared" si="77"/>
        <v>-4.100873079616469</v>
      </c>
      <c r="N320" s="1">
        <f t="shared" si="82"/>
        <v>119.50933121042956</v>
      </c>
      <c r="P320" s="20">
        <f t="shared" si="83"/>
        <v>12.835327679524719</v>
      </c>
      <c r="Q320" s="20">
        <f t="shared" si="78"/>
        <v>-0.41526186873313353</v>
      </c>
      <c r="R320" s="20">
        <f t="shared" si="79"/>
        <v>-9.0411902619885378</v>
      </c>
      <c r="S320" s="20">
        <f t="shared" si="84"/>
        <v>86.149176219739076</v>
      </c>
      <c r="T320" s="1">
        <f t="shared" si="85"/>
        <v>0</v>
      </c>
    </row>
    <row r="321" spans="1:20" x14ac:dyDescent="0.25">
      <c r="A321" s="20">
        <f t="shared" si="80"/>
        <v>3.1599999999999766</v>
      </c>
      <c r="C321" s="20">
        <f t="shared" si="86"/>
        <v>26.056544751330172</v>
      </c>
      <c r="D321" s="20">
        <f t="shared" si="73"/>
        <v>0.14583794663958349</v>
      </c>
      <c r="E321" s="20">
        <f t="shared" si="74"/>
        <v>3.1752220039099388</v>
      </c>
      <c r="F321" s="20">
        <f t="shared" si="75"/>
        <v>0.12250387517725014</v>
      </c>
      <c r="G321" s="20">
        <f t="shared" si="76"/>
        <v>2.667186483284349</v>
      </c>
      <c r="I321" s="20">
        <f t="shared" si="87"/>
        <v>0.51108664222614952</v>
      </c>
      <c r="K321" s="20">
        <f t="shared" si="81"/>
        <v>22.726870576867249</v>
      </c>
      <c r="L321" s="20">
        <f t="shared" si="88"/>
        <v>-0.18712157565340654</v>
      </c>
      <c r="M321" s="20">
        <f t="shared" si="77"/>
        <v>-4.0740599968083284</v>
      </c>
      <c r="N321" s="1">
        <f t="shared" si="82"/>
        <v>119.73680495985222</v>
      </c>
      <c r="P321" s="20">
        <f t="shared" si="83"/>
        <v>12.744915776904833</v>
      </c>
      <c r="Q321" s="20">
        <f t="shared" si="78"/>
        <v>-0.41505679625202752</v>
      </c>
      <c r="R321" s="20">
        <f t="shared" si="79"/>
        <v>-9.0367253701726007</v>
      </c>
      <c r="S321" s="20">
        <f t="shared" si="84"/>
        <v>86.277077437021234</v>
      </c>
      <c r="T321" s="1">
        <f t="shared" si="85"/>
        <v>0</v>
      </c>
    </row>
    <row r="322" spans="1:20" x14ac:dyDescent="0.25">
      <c r="A322" s="20">
        <f t="shared" si="80"/>
        <v>3.1699999999999764</v>
      </c>
      <c r="C322" s="20">
        <f t="shared" si="86"/>
        <v>25.976876094997738</v>
      </c>
      <c r="D322" s="20">
        <f t="shared" si="73"/>
        <v>0.14494750233224757</v>
      </c>
      <c r="E322" s="20">
        <f t="shared" si="74"/>
        <v>3.1558350170312992</v>
      </c>
      <c r="F322" s="20">
        <f t="shared" si="75"/>
        <v>0.12175590195908796</v>
      </c>
      <c r="G322" s="20">
        <f t="shared" si="76"/>
        <v>2.6509014143062912</v>
      </c>
      <c r="I322" s="20">
        <f t="shared" si="87"/>
        <v>0.50881953622144593</v>
      </c>
      <c r="K322" s="20">
        <f t="shared" si="81"/>
        <v>22.686129976899167</v>
      </c>
      <c r="L322" s="20">
        <f t="shared" si="88"/>
        <v>-0.18589855952670983</v>
      </c>
      <c r="M322" s="20">
        <f t="shared" si="77"/>
        <v>-4.0474321690988422</v>
      </c>
      <c r="N322" s="1">
        <f t="shared" si="82"/>
        <v>119.96386996262106</v>
      </c>
      <c r="P322" s="20">
        <f t="shared" si="83"/>
        <v>12.654548523203106</v>
      </c>
      <c r="Q322" s="20">
        <f t="shared" si="78"/>
        <v>-0.41485210656917693</v>
      </c>
      <c r="R322" s="20">
        <f t="shared" si="79"/>
        <v>-9.0322688127406252</v>
      </c>
      <c r="S322" s="20">
        <f t="shared" si="84"/>
        <v>86.404074758521773</v>
      </c>
      <c r="T322" s="1">
        <f t="shared" si="85"/>
        <v>0</v>
      </c>
    </row>
    <row r="323" spans="1:20" x14ac:dyDescent="0.25">
      <c r="A323" s="20">
        <f t="shared" si="80"/>
        <v>3.1799999999999762</v>
      </c>
      <c r="C323" s="20">
        <f t="shared" si="86"/>
        <v>25.89759623766356</v>
      </c>
      <c r="D323" s="20">
        <f t="shared" si="73"/>
        <v>0.14406411037179717</v>
      </c>
      <c r="E323" s="20">
        <f t="shared" si="74"/>
        <v>3.1366015756977395</v>
      </c>
      <c r="F323" s="20">
        <f t="shared" si="75"/>
        <v>0.12101385271230963</v>
      </c>
      <c r="G323" s="20">
        <f t="shared" si="76"/>
        <v>2.6347453235861016</v>
      </c>
      <c r="I323" s="20">
        <f t="shared" si="87"/>
        <v>0.50653500965985288</v>
      </c>
      <c r="K323" s="20">
        <f t="shared" si="81"/>
        <v>22.645655655208177</v>
      </c>
      <c r="L323" s="20">
        <f t="shared" si="88"/>
        <v>-0.18468399794757062</v>
      </c>
      <c r="M323" s="20">
        <f t="shared" si="77"/>
        <v>-4.0209884160150366</v>
      </c>
      <c r="N323" s="1">
        <f t="shared" si="82"/>
        <v>120.19052889078161</v>
      </c>
      <c r="P323" s="20">
        <f t="shared" si="83"/>
        <v>12.5642258350757</v>
      </c>
      <c r="Q323" s="20">
        <f t="shared" si="78"/>
        <v>-0.41464780282048064</v>
      </c>
      <c r="R323" s="20">
        <f t="shared" si="79"/>
        <v>-9.0278206579682259</v>
      </c>
      <c r="S323" s="20">
        <f t="shared" si="84"/>
        <v>86.53016863031317</v>
      </c>
      <c r="T323" s="1">
        <f t="shared" si="85"/>
        <v>0</v>
      </c>
    </row>
    <row r="324" spans="1:20" x14ac:dyDescent="0.25">
      <c r="A324" s="20">
        <f t="shared" si="80"/>
        <v>3.189999999999976</v>
      </c>
      <c r="C324" s="20">
        <f t="shared" si="86"/>
        <v>25.818705388656777</v>
      </c>
      <c r="D324" s="20">
        <f t="shared" si="73"/>
        <v>0.14318773335394672</v>
      </c>
      <c r="E324" s="20">
        <f t="shared" si="74"/>
        <v>3.1175208655333488</v>
      </c>
      <c r="F324" s="20">
        <f t="shared" si="75"/>
        <v>0.12027769601731524</v>
      </c>
      <c r="G324" s="20">
        <f t="shared" si="76"/>
        <v>2.618717527048013</v>
      </c>
      <c r="I324" s="20">
        <f t="shared" si="87"/>
        <v>0.50423302513711532</v>
      </c>
      <c r="K324" s="20">
        <f t="shared" si="81"/>
        <v>22.605445771048025</v>
      </c>
      <c r="L324" s="20">
        <f t="shared" si="88"/>
        <v>-0.18347783713777188</v>
      </c>
      <c r="M324" s="20">
        <f t="shared" si="77"/>
        <v>-3.9947275666834723</v>
      </c>
      <c r="N324" s="1">
        <f t="shared" si="82"/>
        <v>120.41678439791289</v>
      </c>
      <c r="P324" s="20">
        <f t="shared" si="83"/>
        <v>12.473947628496017</v>
      </c>
      <c r="Q324" s="20">
        <f t="shared" si="78"/>
        <v>-0.41444388786085928</v>
      </c>
      <c r="R324" s="20">
        <f t="shared" si="79"/>
        <v>-9.023380968013484</v>
      </c>
      <c r="S324" s="20">
        <f t="shared" si="84"/>
        <v>86.655359497631025</v>
      </c>
      <c r="T324" s="1">
        <f t="shared" si="85"/>
        <v>0</v>
      </c>
    </row>
    <row r="325" spans="1:20" x14ac:dyDescent="0.25">
      <c r="A325" s="20">
        <f t="shared" si="80"/>
        <v>3.1999999999999758</v>
      </c>
      <c r="C325" s="20">
        <f t="shared" si="86"/>
        <v>25.740203773307279</v>
      </c>
      <c r="D325" s="20">
        <f t="shared" ref="D325:D388" si="89">0.5*$W$5*$W$10*$W$9*C325^2</f>
        <v>0.14231833421793177</v>
      </c>
      <c r="E325" s="20">
        <f t="shared" ref="E325:E388" si="90">D325/$W$4</f>
        <v>3.0985920796414494</v>
      </c>
      <c r="F325" s="20">
        <f t="shared" ref="F325:F388" si="91">0.5*$W$6*$W$10*$W$9*C325^2</f>
        <v>0.11954740074306269</v>
      </c>
      <c r="G325" s="20">
        <f t="shared" ref="G325:G388" si="92">F325/$W$4</f>
        <v>2.6028173468988176</v>
      </c>
      <c r="I325" s="20">
        <f t="shared" si="87"/>
        <v>0.50191354580197456</v>
      </c>
      <c r="K325" s="20">
        <f t="shared" si="81"/>
        <v>22.565498495381192</v>
      </c>
      <c r="L325" s="20">
        <f t="shared" si="88"/>
        <v>-0.18228002375454511</v>
      </c>
      <c r="M325" s="20">
        <f t="shared" ref="M325:M388" si="93">L325/$W$4</f>
        <v>-3.9686484597114111</v>
      </c>
      <c r="N325" s="1">
        <f t="shared" si="82"/>
        <v>120.64263911924503</v>
      </c>
      <c r="P325" s="20">
        <f t="shared" si="83"/>
        <v>12.383713818815883</v>
      </c>
      <c r="Q325" s="20">
        <f t="shared" ref="Q325:Q388" si="94">-(D325*SIN(I325))+(F325*COS(I325))-($W$4*9.81)</f>
        <v>-0.41424036426626354</v>
      </c>
      <c r="R325" s="20">
        <f t="shared" ref="R325:R388" si="95">Q325/$W$4</f>
        <v>-9.0189497989606693</v>
      </c>
      <c r="S325" s="20">
        <f t="shared" si="84"/>
        <v>86.779647804867579</v>
      </c>
      <c r="T325" s="1">
        <f t="shared" si="85"/>
        <v>0</v>
      </c>
    </row>
    <row r="326" spans="1:20" x14ac:dyDescent="0.25">
      <c r="A326" s="20">
        <f t="shared" ref="A326:A389" si="96">A325+$W$18</f>
        <v>3.2099999999999755</v>
      </c>
      <c r="C326" s="20">
        <f t="shared" si="86"/>
        <v>25.66209163283327</v>
      </c>
      <c r="D326" s="20">
        <f t="shared" si="89"/>
        <v>0.14145587624293487</v>
      </c>
      <c r="E326" s="20">
        <f t="shared" si="90"/>
        <v>3.0798144185267771</v>
      </c>
      <c r="F326" s="20">
        <f t="shared" si="91"/>
        <v>0.1188229360440653</v>
      </c>
      <c r="G326" s="20">
        <f t="shared" si="92"/>
        <v>2.5870441115624931</v>
      </c>
      <c r="I326" s="20">
        <f t="shared" si="87"/>
        <v>0.49957653537696312</v>
      </c>
      <c r="K326" s="20">
        <f t="shared" ref="K326:K389" si="97">K325+(M325*$W$18)</f>
        <v>22.525812010784076</v>
      </c>
      <c r="L326" s="20">
        <f t="shared" si="88"/>
        <v>-0.18109050488515116</v>
      </c>
      <c r="M326" s="20">
        <f t="shared" si="93"/>
        <v>-3.9427499430688258</v>
      </c>
      <c r="N326" s="1">
        <f t="shared" ref="N326:N389" si="98">N325+(K325*$W$18)+(0.5*M325*$W$18^2)</f>
        <v>120.86809567177585</v>
      </c>
      <c r="P326" s="20">
        <f t="shared" ref="P326:P389" si="99">P325+(R325*$W$18)</f>
        <v>12.293524320826275</v>
      </c>
      <c r="Q326" s="20">
        <f t="shared" si="94"/>
        <v>-0.41403723433565159</v>
      </c>
      <c r="R326" s="20">
        <f t="shared" si="95"/>
        <v>-9.0145272008633057</v>
      </c>
      <c r="S326" s="20">
        <f t="shared" ref="S326:S389" si="100">S325+(P325*$W$18)+(0.5*R325*$W$18^2)</f>
        <v>86.903033995565792</v>
      </c>
      <c r="T326" s="1">
        <f t="shared" si="85"/>
        <v>0</v>
      </c>
    </row>
    <row r="327" spans="1:20" x14ac:dyDescent="0.25">
      <c r="A327" s="20">
        <f t="shared" si="96"/>
        <v>3.2199999999999753</v>
      </c>
      <c r="C327" s="20">
        <f t="shared" si="86"/>
        <v>25.584369224226634</v>
      </c>
      <c r="D327" s="20">
        <f t="shared" si="89"/>
        <v>0.14060032304454981</v>
      </c>
      <c r="E327" s="20">
        <f t="shared" si="90"/>
        <v>3.0611870900185023</v>
      </c>
      <c r="F327" s="20">
        <f t="shared" si="91"/>
        <v>0.11810427135742184</v>
      </c>
      <c r="G327" s="20">
        <f t="shared" si="92"/>
        <v>2.5713971556155419</v>
      </c>
      <c r="I327" s="20">
        <f t="shared" si="87"/>
        <v>0.49722195817950893</v>
      </c>
      <c r="K327" s="20">
        <f t="shared" si="97"/>
        <v>22.486384511353389</v>
      </c>
      <c r="L327" s="20">
        <f t="shared" si="88"/>
        <v>-0.17990922804149839</v>
      </c>
      <c r="M327" s="20">
        <f t="shared" si="93"/>
        <v>-3.9170308739712256</v>
      </c>
      <c r="N327" s="1">
        <f t="shared" si="98"/>
        <v>121.09315665438653</v>
      </c>
      <c r="P327" s="20">
        <f t="shared" si="99"/>
        <v>12.203379048817643</v>
      </c>
      <c r="Q327" s="20">
        <f t="shared" si="94"/>
        <v>-0.4138345000929341</v>
      </c>
      <c r="R327" s="20">
        <f t="shared" si="95"/>
        <v>-9.010113217786504</v>
      </c>
      <c r="S327" s="20">
        <f t="shared" si="100"/>
        <v>87.02551851241401</v>
      </c>
      <c r="T327" s="1">
        <f t="shared" ref="T327:T390" si="101">IF(AND(S326&gt;0,S327&lt;0),(-1*S326*(N327-N326)/(S327-S326)+N326),0)</f>
        <v>0</v>
      </c>
    </row>
    <row r="328" spans="1:20" x14ac:dyDescent="0.25">
      <c r="A328" s="20">
        <f t="shared" si="96"/>
        <v>3.2299999999999751</v>
      </c>
      <c r="C328" s="20">
        <f t="shared" si="86"/>
        <v>25.507036820136008</v>
      </c>
      <c r="D328" s="20">
        <f t="shared" si="89"/>
        <v>0.13975163857128389</v>
      </c>
      <c r="E328" s="20">
        <f t="shared" si="90"/>
        <v>3.0427093091940756</v>
      </c>
      <c r="F328" s="20">
        <f t="shared" si="91"/>
        <v>0.11739137639987847</v>
      </c>
      <c r="G328" s="20">
        <f t="shared" si="92"/>
        <v>2.5558758197230236</v>
      </c>
      <c r="I328" s="20">
        <f t="shared" si="87"/>
        <v>0.4948497791433456</v>
      </c>
      <c r="K328" s="20">
        <f t="shared" si="97"/>
        <v>22.447214202613676</v>
      </c>
      <c r="L328" s="20">
        <f t="shared" si="88"/>
        <v>-0.17873614115479775</v>
      </c>
      <c r="M328" s="20">
        <f t="shared" si="93"/>
        <v>-3.8914901187632864</v>
      </c>
      <c r="N328" s="1">
        <f t="shared" si="98"/>
        <v>121.31782464795637</v>
      </c>
      <c r="P328" s="20">
        <f t="shared" si="99"/>
        <v>12.113277916639777</v>
      </c>
      <c r="Q328" s="20">
        <f t="shared" si="94"/>
        <v>-0.41363216328888991</v>
      </c>
      <c r="R328" s="20">
        <f t="shared" si="95"/>
        <v>-9.0057078878486809</v>
      </c>
      <c r="S328" s="20">
        <f t="shared" si="100"/>
        <v>87.147101797241291</v>
      </c>
      <c r="T328" s="1">
        <f t="shared" si="101"/>
        <v>0</v>
      </c>
    </row>
    <row r="329" spans="1:20" x14ac:dyDescent="0.25">
      <c r="A329" s="20">
        <f t="shared" si="96"/>
        <v>3.2399999999999749</v>
      </c>
      <c r="C329" s="20">
        <f t="shared" si="86"/>
        <v>25.430094708747514</v>
      </c>
      <c r="D329" s="20">
        <f t="shared" si="89"/>
        <v>0.13890978710109783</v>
      </c>
      <c r="E329" s="20">
        <f t="shared" si="90"/>
        <v>3.0243802983038934</v>
      </c>
      <c r="F329" s="20">
        <f t="shared" si="91"/>
        <v>0.11668422116492218</v>
      </c>
      <c r="G329" s="20">
        <f t="shared" si="92"/>
        <v>2.5404794505752708</v>
      </c>
      <c r="I329" s="20">
        <f t="shared" si="87"/>
        <v>0.49245996384023055</v>
      </c>
      <c r="K329" s="20">
        <f t="shared" si="97"/>
        <v>22.408299301426045</v>
      </c>
      <c r="L329" s="20">
        <f t="shared" si="88"/>
        <v>-0.17757119257025433</v>
      </c>
      <c r="M329" s="20">
        <f t="shared" si="93"/>
        <v>-3.8661265528032733</v>
      </c>
      <c r="N329" s="1">
        <f t="shared" si="98"/>
        <v>121.54210221547656</v>
      </c>
      <c r="P329" s="20">
        <f t="shared" si="99"/>
        <v>12.02322083776129</v>
      </c>
      <c r="Q329" s="20">
        <f t="shared" si="94"/>
        <v>-0.41343022540305191</v>
      </c>
      <c r="R329" s="20">
        <f t="shared" si="95"/>
        <v>-9.0013112432626148</v>
      </c>
      <c r="S329" s="20">
        <f t="shared" si="100"/>
        <v>87.267784291013299</v>
      </c>
      <c r="T329" s="1">
        <f t="shared" si="101"/>
        <v>0</v>
      </c>
    </row>
    <row r="330" spans="1:20" x14ac:dyDescent="0.25">
      <c r="A330" s="20">
        <f t="shared" si="96"/>
        <v>3.2499999999999747</v>
      </c>
      <c r="C330" s="20">
        <f t="shared" si="86"/>
        <v>25.353543193663064</v>
      </c>
      <c r="D330" s="20">
        <f t="shared" si="89"/>
        <v>0.13807473323798233</v>
      </c>
      <c r="E330" s="20">
        <f t="shared" si="90"/>
        <v>3.0061992866967633</v>
      </c>
      <c r="F330" s="20">
        <f t="shared" si="91"/>
        <v>0.11598277591990518</v>
      </c>
      <c r="G330" s="20">
        <f t="shared" si="92"/>
        <v>2.5252074008252814</v>
      </c>
      <c r="I330" s="20">
        <f t="shared" si="87"/>
        <v>0.49005247850196926</v>
      </c>
      <c r="K330" s="20">
        <f t="shared" si="97"/>
        <v>22.36963803589801</v>
      </c>
      <c r="L330" s="20">
        <f t="shared" si="88"/>
        <v>-0.17641433104179471</v>
      </c>
      <c r="M330" s="20">
        <f t="shared" si="93"/>
        <v>-3.8409390603482412</v>
      </c>
      <c r="N330" s="1">
        <f t="shared" si="98"/>
        <v>121.76599190216318</v>
      </c>
      <c r="P330" s="20">
        <f t="shared" si="99"/>
        <v>11.933207725328664</v>
      </c>
      <c r="Q330" s="20">
        <f t="shared" si="94"/>
        <v>-0.41322868764556542</v>
      </c>
      <c r="R330" s="20">
        <f t="shared" si="95"/>
        <v>-8.996923310375907</v>
      </c>
      <c r="S330" s="20">
        <f t="shared" si="100"/>
        <v>87.387566433828752</v>
      </c>
      <c r="T330" s="1">
        <f t="shared" si="101"/>
        <v>0</v>
      </c>
    </row>
    <row r="331" spans="1:20" x14ac:dyDescent="0.25">
      <c r="A331" s="20">
        <f t="shared" si="96"/>
        <v>3.2599999999999745</v>
      </c>
      <c r="C331" s="20">
        <f t="shared" si="86"/>
        <v>25.27738259377621</v>
      </c>
      <c r="D331" s="20">
        <f t="shared" si="89"/>
        <v>0.13724644190857133</v>
      </c>
      <c r="E331" s="20">
        <f t="shared" si="90"/>
        <v>2.9881655107461644</v>
      </c>
      <c r="F331" s="20">
        <f t="shared" si="91"/>
        <v>0.11528701120319991</v>
      </c>
      <c r="G331" s="20">
        <f t="shared" si="92"/>
        <v>2.5100590290267779</v>
      </c>
      <c r="I331" s="20">
        <f t="shared" si="87"/>
        <v>0.48762729004274441</v>
      </c>
      <c r="K331" s="20">
        <f t="shared" si="97"/>
        <v>22.331228645294527</v>
      </c>
      <c r="L331" s="20">
        <f t="shared" si="88"/>
        <v>-0.17526550572682933</v>
      </c>
      <c r="M331" s="20">
        <f t="shared" si="93"/>
        <v>-3.8159265344400031</v>
      </c>
      <c r="N331" s="1">
        <f t="shared" si="98"/>
        <v>121.98949623556913</v>
      </c>
      <c r="P331" s="20">
        <f t="shared" si="99"/>
        <v>11.843238492224906</v>
      </c>
      <c r="Q331" s="20">
        <f t="shared" si="94"/>
        <v>-0.41302755095901883</v>
      </c>
      <c r="R331" s="20">
        <f t="shared" si="95"/>
        <v>-8.9925441097108383</v>
      </c>
      <c r="S331" s="20">
        <f t="shared" si="100"/>
        <v>87.506448664916519</v>
      </c>
      <c r="T331" s="1">
        <f t="shared" si="101"/>
        <v>0</v>
      </c>
    </row>
    <row r="332" spans="1:20" x14ac:dyDescent="0.25">
      <c r="A332" s="20">
        <f t="shared" si="96"/>
        <v>3.2699999999999743</v>
      </c>
      <c r="C332" s="20">
        <f t="shared" si="86"/>
        <v>25.201613243145385</v>
      </c>
      <c r="D332" s="20">
        <f t="shared" si="89"/>
        <v>0.13642487835879041</v>
      </c>
      <c r="E332" s="20">
        <f t="shared" si="90"/>
        <v>2.970278213777279</v>
      </c>
      <c r="F332" s="20">
        <f t="shared" si="91"/>
        <v>0.11459689782138394</v>
      </c>
      <c r="G332" s="20">
        <f t="shared" si="92"/>
        <v>2.4950336995729141</v>
      </c>
      <c r="I332" s="20">
        <f t="shared" si="87"/>
        <v>0.48518436608175008</v>
      </c>
      <c r="K332" s="20">
        <f t="shared" si="97"/>
        <v>22.293069379950126</v>
      </c>
      <c r="L332" s="20">
        <f t="shared" si="88"/>
        <v>-0.1741246661810493</v>
      </c>
      <c r="M332" s="20">
        <f t="shared" si="93"/>
        <v>-3.7910878767918419</v>
      </c>
      <c r="N332" s="1">
        <f t="shared" si="98"/>
        <v>122.21261772569537</v>
      </c>
      <c r="P332" s="20">
        <f t="shared" si="99"/>
        <v>11.753313051127797</v>
      </c>
      <c r="Q332" s="20">
        <f t="shared" si="94"/>
        <v>-0.41282681602024879</v>
      </c>
      <c r="R332" s="20">
        <f t="shared" si="95"/>
        <v>-8.988173656003676</v>
      </c>
      <c r="S332" s="20">
        <f t="shared" si="100"/>
        <v>87.624431422633279</v>
      </c>
      <c r="T332" s="1">
        <f t="shared" si="101"/>
        <v>0</v>
      </c>
    </row>
    <row r="333" spans="1:20" x14ac:dyDescent="0.25">
      <c r="A333" s="20">
        <f t="shared" si="96"/>
        <v>3.279999999999974</v>
      </c>
      <c r="C333" s="20">
        <f t="shared" si="86"/>
        <v>25.126235490864577</v>
      </c>
      <c r="D333" s="20">
        <f t="shared" si="89"/>
        <v>0.13561000815054139</v>
      </c>
      <c r="E333" s="20">
        <f t="shared" si="90"/>
        <v>2.952536645994805</v>
      </c>
      <c r="F333" s="20">
        <f t="shared" si="91"/>
        <v>0.11391240684645478</v>
      </c>
      <c r="G333" s="20">
        <f t="shared" si="92"/>
        <v>2.4801307826356362</v>
      </c>
      <c r="I333" s="20">
        <f t="shared" si="87"/>
        <v>0.48272367496612778</v>
      </c>
      <c r="K333" s="20">
        <f t="shared" si="97"/>
        <v>22.255158501182208</v>
      </c>
      <c r="L333" s="20">
        <f t="shared" si="88"/>
        <v>-0.17299176235325769</v>
      </c>
      <c r="M333" s="20">
        <f t="shared" si="93"/>
        <v>-3.7664219976759785</v>
      </c>
      <c r="N333" s="1">
        <f t="shared" si="98"/>
        <v>122.43535886510102</v>
      </c>
      <c r="P333" s="20">
        <f t="shared" si="99"/>
        <v>11.663431314567761</v>
      </c>
      <c r="Q333" s="20">
        <f t="shared" si="94"/>
        <v>-0.41262648324211953</v>
      </c>
      <c r="R333" s="20">
        <f t="shared" si="95"/>
        <v>-8.983811958243404</v>
      </c>
      <c r="S333" s="20">
        <f t="shared" si="100"/>
        <v>87.741515144461758</v>
      </c>
      <c r="T333" s="1">
        <f t="shared" si="101"/>
        <v>0</v>
      </c>
    </row>
    <row r="334" spans="1:20" x14ac:dyDescent="0.25">
      <c r="A334" s="20">
        <f t="shared" si="96"/>
        <v>3.2899999999999738</v>
      </c>
      <c r="C334" s="20">
        <f t="shared" si="86"/>
        <v>25.05124970093124</v>
      </c>
      <c r="D334" s="20">
        <f t="shared" si="89"/>
        <v>0.13480179715842064</v>
      </c>
      <c r="E334" s="20">
        <f t="shared" si="90"/>
        <v>2.9349400644115096</v>
      </c>
      <c r="F334" s="20">
        <f t="shared" si="91"/>
        <v>0.11323350961307334</v>
      </c>
      <c r="G334" s="20">
        <f t="shared" si="92"/>
        <v>2.4653496541056681</v>
      </c>
      <c r="I334" s="20">
        <f t="shared" si="87"/>
        <v>0.48024518579420444</v>
      </c>
      <c r="K334" s="20">
        <f t="shared" si="97"/>
        <v>22.21749428120545</v>
      </c>
      <c r="L334" s="20">
        <f t="shared" si="88"/>
        <v>-0.17186674458023346</v>
      </c>
      <c r="M334" s="20">
        <f t="shared" si="93"/>
        <v>-3.7419278158117453</v>
      </c>
      <c r="N334" s="1">
        <f t="shared" si="98"/>
        <v>122.65772212901297</v>
      </c>
      <c r="P334" s="20">
        <f t="shared" si="99"/>
        <v>11.573593194985328</v>
      </c>
      <c r="Q334" s="20">
        <f t="shared" si="94"/>
        <v>-0.41242655277527906</v>
      </c>
      <c r="R334" s="20">
        <f t="shared" si="95"/>
        <v>-8.9794590197099726</v>
      </c>
      <c r="S334" s="20">
        <f t="shared" si="100"/>
        <v>87.857700267009534</v>
      </c>
      <c r="T334" s="1">
        <f t="shared" si="101"/>
        <v>0</v>
      </c>
    </row>
    <row r="335" spans="1:20" x14ac:dyDescent="0.25">
      <c r="A335" s="20">
        <f t="shared" si="96"/>
        <v>3.2999999999999736</v>
      </c>
      <c r="C335" s="20">
        <f t="shared" si="86"/>
        <v>24.976656252111514</v>
      </c>
      <c r="D335" s="20">
        <f t="shared" si="89"/>
        <v>0.13400021156647227</v>
      </c>
      <c r="E335" s="20">
        <f t="shared" si="90"/>
        <v>2.9174877327775368</v>
      </c>
      <c r="F335" s="20">
        <f t="shared" si="91"/>
        <v>0.11256017771583672</v>
      </c>
      <c r="G335" s="20">
        <f t="shared" si="92"/>
        <v>2.4506896955331312</v>
      </c>
      <c r="I335" s="20">
        <f t="shared" si="87"/>
        <v>0.47774886843902914</v>
      </c>
      <c r="K335" s="20">
        <f t="shared" si="97"/>
        <v>22.180075003047332</v>
      </c>
      <c r="L335" s="20">
        <f t="shared" si="88"/>
        <v>-0.17074956358162902</v>
      </c>
      <c r="M335" s="20">
        <f t="shared" si="93"/>
        <v>-3.7176042582544966</v>
      </c>
      <c r="N335" s="1">
        <f t="shared" si="98"/>
        <v>122.87970997543424</v>
      </c>
      <c r="P335" s="20">
        <f t="shared" si="99"/>
        <v>11.483798604788229</v>
      </c>
      <c r="Q335" s="20">
        <f t="shared" si="94"/>
        <v>-0.41222702450989129</v>
      </c>
      <c r="R335" s="20">
        <f t="shared" si="95"/>
        <v>-8.9751148380120025</v>
      </c>
      <c r="S335" s="20">
        <f t="shared" si="100"/>
        <v>87.972987226008399</v>
      </c>
      <c r="T335" s="1">
        <f t="shared" si="101"/>
        <v>0</v>
      </c>
    </row>
    <row r="336" spans="1:20" x14ac:dyDescent="0.25">
      <c r="A336" s="20">
        <f t="shared" si="96"/>
        <v>3.3099999999999734</v>
      </c>
      <c r="C336" s="20">
        <f t="shared" si="86"/>
        <v>24.902455537802545</v>
      </c>
      <c r="D336" s="20">
        <f t="shared" si="89"/>
        <v>0.13320521786497494</v>
      </c>
      <c r="E336" s="20">
        <f t="shared" si="90"/>
        <v>2.9001789215104496</v>
      </c>
      <c r="F336" s="20">
        <f t="shared" si="91"/>
        <v>0.11189238300657896</v>
      </c>
      <c r="G336" s="20">
        <f t="shared" si="92"/>
        <v>2.4361502940687778</v>
      </c>
      <c r="I336" s="20">
        <f t="shared" si="87"/>
        <v>0.4752346935722066</v>
      </c>
      <c r="K336" s="20">
        <f t="shared" si="97"/>
        <v>22.142898960464787</v>
      </c>
      <c r="L336" s="20">
        <f t="shared" si="88"/>
        <v>-0.16964017045489999</v>
      </c>
      <c r="M336" s="20">
        <f t="shared" si="93"/>
        <v>-3.6934502602852164</v>
      </c>
      <c r="N336" s="1">
        <f t="shared" si="98"/>
        <v>123.1013248452518</v>
      </c>
      <c r="P336" s="20">
        <f t="shared" si="99"/>
        <v>11.394047456408108</v>
      </c>
      <c r="Q336" s="20">
        <f t="shared" si="94"/>
        <v>-0.41202789807734685</v>
      </c>
      <c r="R336" s="20">
        <f t="shared" si="95"/>
        <v>-8.9707794051240342</v>
      </c>
      <c r="S336" s="20">
        <f t="shared" si="100"/>
        <v>88.087376456314388</v>
      </c>
      <c r="T336" s="1">
        <f t="shared" si="101"/>
        <v>0</v>
      </c>
    </row>
    <row r="337" spans="1:20" x14ac:dyDescent="0.25">
      <c r="A337" s="20">
        <f t="shared" si="96"/>
        <v>3.3199999999999732</v>
      </c>
      <c r="C337" s="20">
        <f t="shared" si="86"/>
        <v>24.828647965891935</v>
      </c>
      <c r="D337" s="20">
        <f t="shared" si="89"/>
        <v>0.13241678284726147</v>
      </c>
      <c r="E337" s="20">
        <f t="shared" si="90"/>
        <v>2.8830129076259845</v>
      </c>
      <c r="F337" s="20">
        <f t="shared" si="91"/>
        <v>0.11123009759169965</v>
      </c>
      <c r="G337" s="20">
        <f t="shared" si="92"/>
        <v>2.4217308424058275</v>
      </c>
      <c r="I337" s="20">
        <f t="shared" si="87"/>
        <v>0.47270263268802626</v>
      </c>
      <c r="K337" s="20">
        <f t="shared" si="97"/>
        <v>22.105964457861937</v>
      </c>
      <c r="L337" s="20">
        <f t="shared" si="88"/>
        <v>-0.16853851667026662</v>
      </c>
      <c r="M337" s="20">
        <f t="shared" si="93"/>
        <v>-3.6694647653008192</v>
      </c>
      <c r="N337" s="1">
        <f t="shared" si="98"/>
        <v>123.32256916234343</v>
      </c>
      <c r="P337" s="20">
        <f t="shared" si="99"/>
        <v>11.304339662356869</v>
      </c>
      <c r="Q337" s="20">
        <f t="shared" si="94"/>
        <v>-0.41182917285195231</v>
      </c>
      <c r="R337" s="20">
        <f t="shared" si="95"/>
        <v>-8.9664527074233025</v>
      </c>
      <c r="S337" s="20">
        <f t="shared" si="100"/>
        <v>88.200868391908202</v>
      </c>
      <c r="T337" s="1">
        <f t="shared" si="101"/>
        <v>0</v>
      </c>
    </row>
    <row r="338" spans="1:20" x14ac:dyDescent="0.25">
      <c r="A338" s="20">
        <f t="shared" si="96"/>
        <v>3.329999999999973</v>
      </c>
      <c r="C338" s="20">
        <f t="shared" si="86"/>
        <v>24.755233958614202</v>
      </c>
      <c r="D338" s="20">
        <f t="shared" si="89"/>
        <v>0.13163487360657147</v>
      </c>
      <c r="E338" s="20">
        <f t="shared" si="90"/>
        <v>2.8659889746695293</v>
      </c>
      <c r="F338" s="20">
        <f t="shared" si="91"/>
        <v>0.11057329382952004</v>
      </c>
      <c r="G338" s="20">
        <f t="shared" si="92"/>
        <v>2.4074307387224048</v>
      </c>
      <c r="I338" s="20">
        <f t="shared" si="87"/>
        <v>0.47015265812788187</v>
      </c>
      <c r="K338" s="20">
        <f t="shared" si="97"/>
        <v>22.06926981020893</v>
      </c>
      <c r="L338" s="20">
        <f t="shared" si="88"/>
        <v>-0.16744455406570674</v>
      </c>
      <c r="M338" s="20">
        <f t="shared" si="93"/>
        <v>-3.6456467247051325</v>
      </c>
      <c r="N338" s="1">
        <f t="shared" si="98"/>
        <v>123.54344533368378</v>
      </c>
      <c r="P338" s="20">
        <f t="shared" si="99"/>
        <v>11.214675135282636</v>
      </c>
      <c r="Q338" s="20">
        <f t="shared" si="94"/>
        <v>-0.41163084795260013</v>
      </c>
      <c r="R338" s="20">
        <f t="shared" si="95"/>
        <v>-8.9621347257261075</v>
      </c>
      <c r="S338" s="20">
        <f t="shared" si="100"/>
        <v>88.313463465896405</v>
      </c>
      <c r="T338" s="1">
        <f t="shared" si="101"/>
        <v>0</v>
      </c>
    </row>
    <row r="339" spans="1:20" x14ac:dyDescent="0.25">
      <c r="A339" s="20">
        <f t="shared" si="96"/>
        <v>3.3399999999999728</v>
      </c>
      <c r="C339" s="20">
        <f t="shared" si="86"/>
        <v>24.682213952404201</v>
      </c>
      <c r="D339" s="20">
        <f t="shared" si="89"/>
        <v>0.13085945753293604</v>
      </c>
      <c r="E339" s="20">
        <f t="shared" si="90"/>
        <v>2.8491064126482919</v>
      </c>
      <c r="F339" s="20">
        <f t="shared" si="91"/>
        <v>0.10992194432766628</v>
      </c>
      <c r="G339" s="20">
        <f t="shared" si="92"/>
        <v>2.3932493866245652</v>
      </c>
      <c r="I339" s="20">
        <f t="shared" si="87"/>
        <v>0.46758474310498099</v>
      </c>
      <c r="K339" s="20">
        <f t="shared" si="97"/>
        <v>22.032813342961877</v>
      </c>
      <c r="L339" s="20">
        <f t="shared" si="88"/>
        <v>-0.16635823484197962</v>
      </c>
      <c r="M339" s="20">
        <f t="shared" si="93"/>
        <v>-3.621995097800558</v>
      </c>
      <c r="N339" s="1">
        <f t="shared" si="98"/>
        <v>123.76395574944962</v>
      </c>
      <c r="P339" s="20">
        <f t="shared" si="99"/>
        <v>11.125053788025376</v>
      </c>
      <c r="Q339" s="20">
        <f t="shared" si="94"/>
        <v>-0.41143292224441863</v>
      </c>
      <c r="R339" s="20">
        <f t="shared" si="95"/>
        <v>-8.9578254353237234</v>
      </c>
      <c r="S339" s="20">
        <f t="shared" si="100"/>
        <v>88.425162110512943</v>
      </c>
      <c r="T339" s="1">
        <f t="shared" si="101"/>
        <v>0</v>
      </c>
    </row>
    <row r="340" spans="1:20" x14ac:dyDescent="0.25">
      <c r="A340" s="20">
        <f t="shared" si="96"/>
        <v>3.3499999999999726</v>
      </c>
      <c r="C340" s="20">
        <f t="shared" si="86"/>
        <v>24.60958839774743</v>
      </c>
      <c r="D340" s="20">
        <f t="shared" si="89"/>
        <v>0.13009050231009411</v>
      </c>
      <c r="E340" s="20">
        <f t="shared" si="90"/>
        <v>2.8323645179641654</v>
      </c>
      <c r="F340" s="20">
        <f t="shared" si="91"/>
        <v>0.10927602194047906</v>
      </c>
      <c r="G340" s="20">
        <f t="shared" si="92"/>
        <v>2.3791861950898991</v>
      </c>
      <c r="I340" s="20">
        <f t="shared" si="87"/>
        <v>0.4649988617293393</v>
      </c>
      <c r="K340" s="20">
        <f t="shared" si="97"/>
        <v>21.996593391983872</v>
      </c>
      <c r="L340" s="20">
        <f t="shared" si="88"/>
        <v>-0.16527951155768048</v>
      </c>
      <c r="M340" s="20">
        <f t="shared" si="93"/>
        <v>-3.5985088516803936</v>
      </c>
      <c r="N340" s="1">
        <f t="shared" si="98"/>
        <v>123.98410278312436</v>
      </c>
      <c r="P340" s="20">
        <f t="shared" si="99"/>
        <v>11.035475533672139</v>
      </c>
      <c r="Q340" s="20">
        <f t="shared" si="94"/>
        <v>-0.41123539434040457</v>
      </c>
      <c r="R340" s="20">
        <f t="shared" si="95"/>
        <v>-8.9535248060179526</v>
      </c>
      <c r="S340" s="20">
        <f t="shared" si="100"/>
        <v>88.535964757121434</v>
      </c>
      <c r="T340" s="1">
        <f t="shared" si="101"/>
        <v>0</v>
      </c>
    </row>
    <row r="341" spans="1:20" x14ac:dyDescent="0.25">
      <c r="A341" s="20">
        <f t="shared" si="96"/>
        <v>3.3599999999999723</v>
      </c>
      <c r="C341" s="20">
        <f t="shared" si="86"/>
        <v>24.537357759027145</v>
      </c>
      <c r="D341" s="20">
        <f t="shared" si="89"/>
        <v>0.12932797591244005</v>
      </c>
      <c r="E341" s="20">
        <f t="shared" si="90"/>
        <v>2.815762593347269</v>
      </c>
      <c r="F341" s="20">
        <f t="shared" si="91"/>
        <v>0.10863549976644965</v>
      </c>
      <c r="G341" s="20">
        <f t="shared" si="92"/>
        <v>2.3652405784117061</v>
      </c>
      <c r="I341" s="20">
        <f t="shared" si="87"/>
        <v>0.4623949890330567</v>
      </c>
      <c r="K341" s="20">
        <f t="shared" si="97"/>
        <v>21.960608303467069</v>
      </c>
      <c r="L341" s="20">
        <f t="shared" si="88"/>
        <v>-0.16420833712432456</v>
      </c>
      <c r="M341" s="20">
        <f t="shared" si="93"/>
        <v>-3.5751869611218066</v>
      </c>
      <c r="N341" s="1">
        <f t="shared" si="98"/>
        <v>124.20388879160161</v>
      </c>
      <c r="P341" s="20">
        <f t="shared" si="99"/>
        <v>10.945940285611959</v>
      </c>
      <c r="Q341" s="20">
        <f t="shared" si="94"/>
        <v>-0.41103826260303866</v>
      </c>
      <c r="R341" s="20">
        <f t="shared" si="95"/>
        <v>-8.9492328021562955</v>
      </c>
      <c r="S341" s="20">
        <f t="shared" si="100"/>
        <v>88.64587183621785</v>
      </c>
      <c r="T341" s="1">
        <f t="shared" si="101"/>
        <v>0</v>
      </c>
    </row>
    <row r="342" spans="1:20" x14ac:dyDescent="0.25">
      <c r="A342" s="20">
        <f t="shared" si="96"/>
        <v>3.3699999999999721</v>
      </c>
      <c r="C342" s="20">
        <f t="shared" si="86"/>
        <v>24.465522514368235</v>
      </c>
      <c r="D342" s="20">
        <f t="shared" si="89"/>
        <v>0.12857184660200208</v>
      </c>
      <c r="E342" s="20">
        <f t="shared" si="90"/>
        <v>2.7992999477901606</v>
      </c>
      <c r="F342" s="20">
        <f t="shared" si="91"/>
        <v>0.10800035114568174</v>
      </c>
      <c r="G342" s="20">
        <f t="shared" si="92"/>
        <v>2.351411956143735</v>
      </c>
      <c r="I342" s="20">
        <f t="shared" si="87"/>
        <v>0.45977310099587237</v>
      </c>
      <c r="K342" s="20">
        <f t="shared" si="97"/>
        <v>21.924856433855851</v>
      </c>
      <c r="L342" s="20">
        <f t="shared" si="88"/>
        <v>-0.1631446648014615</v>
      </c>
      <c r="M342" s="20">
        <f t="shared" si="93"/>
        <v>-3.5520284084794582</v>
      </c>
      <c r="N342" s="1">
        <f t="shared" si="98"/>
        <v>124.42331611528823</v>
      </c>
      <c r="P342" s="20">
        <f t="shared" si="99"/>
        <v>10.856447957590396</v>
      </c>
      <c r="Q342" s="20">
        <f t="shared" si="94"/>
        <v>-0.41084152514588501</v>
      </c>
      <c r="R342" s="20">
        <f t="shared" si="95"/>
        <v>-8.9449493826667759</v>
      </c>
      <c r="S342" s="20">
        <f t="shared" si="100"/>
        <v>88.754883777433861</v>
      </c>
      <c r="T342" s="1">
        <f t="shared" si="101"/>
        <v>0</v>
      </c>
    </row>
    <row r="343" spans="1:20" x14ac:dyDescent="0.25">
      <c r="A343" s="20">
        <f t="shared" si="96"/>
        <v>3.3799999999999719</v>
      </c>
      <c r="C343" s="20">
        <f t="shared" si="86"/>
        <v>24.394083155477773</v>
      </c>
      <c r="D343" s="20">
        <f t="shared" si="89"/>
        <v>0.1278220829254508</v>
      </c>
      <c r="E343" s="20">
        <f t="shared" si="90"/>
        <v>2.7829758964827085</v>
      </c>
      <c r="F343" s="20">
        <f t="shared" si="91"/>
        <v>0.10737054965737867</v>
      </c>
      <c r="G343" s="20">
        <f t="shared" si="92"/>
        <v>2.3376997530454751</v>
      </c>
      <c r="I343" s="20">
        <f t="shared" si="87"/>
        <v>0.45713317457099156</v>
      </c>
      <c r="K343" s="20">
        <f t="shared" si="97"/>
        <v>21.889336149771058</v>
      </c>
      <c r="L343" s="20">
        <f t="shared" si="88"/>
        <v>-0.16208844819181831</v>
      </c>
      <c r="M343" s="20">
        <f t="shared" si="93"/>
        <v>-3.5290321835797585</v>
      </c>
      <c r="N343" s="1">
        <f t="shared" si="98"/>
        <v>124.64238707820637</v>
      </c>
      <c r="P343" s="20">
        <f t="shared" si="99"/>
        <v>10.766998463763727</v>
      </c>
      <c r="Q343" s="20">
        <f t="shared" si="94"/>
        <v>-0.41064517983517546</v>
      </c>
      <c r="R343" s="20">
        <f t="shared" si="95"/>
        <v>-8.9406745010924329</v>
      </c>
      <c r="S343" s="20">
        <f t="shared" si="100"/>
        <v>88.863001009540625</v>
      </c>
      <c r="T343" s="1">
        <f t="shared" si="101"/>
        <v>0</v>
      </c>
    </row>
    <row r="344" spans="1:20" x14ac:dyDescent="0.25">
      <c r="A344" s="20">
        <f t="shared" si="96"/>
        <v>3.3899999999999717</v>
      </c>
      <c r="C344" s="20">
        <f t="shared" si="86"/>
        <v>24.323040187482174</v>
      </c>
      <c r="D344" s="20">
        <f t="shared" si="89"/>
        <v>0.12707865371113783</v>
      </c>
      <c r="E344" s="20">
        <f t="shared" si="90"/>
        <v>2.7667897607476122</v>
      </c>
      <c r="F344" s="20">
        <f t="shared" si="91"/>
        <v>0.10674606911735576</v>
      </c>
      <c r="G344" s="20">
        <f t="shared" si="92"/>
        <v>2.3241033990279942</v>
      </c>
      <c r="I344" s="20">
        <f t="shared" si="87"/>
        <v>0.45447518771118323</v>
      </c>
      <c r="K344" s="20">
        <f t="shared" si="97"/>
        <v>21.854045827935259</v>
      </c>
      <c r="L344" s="20">
        <f t="shared" si="88"/>
        <v>-0.16103964123647174</v>
      </c>
      <c r="M344" s="20">
        <f t="shared" si="93"/>
        <v>-3.5061972836157578</v>
      </c>
      <c r="N344" s="1">
        <f t="shared" si="98"/>
        <v>124.8611039880949</v>
      </c>
      <c r="P344" s="20">
        <f t="shared" si="99"/>
        <v>10.677591718752803</v>
      </c>
      <c r="Q344" s="20">
        <f t="shared" si="94"/>
        <v>-0.4104492242913802</v>
      </c>
      <c r="R344" s="20">
        <f t="shared" si="95"/>
        <v>-8.9364081056255209</v>
      </c>
      <c r="S344" s="20">
        <f t="shared" si="100"/>
        <v>88.970223960453211</v>
      </c>
      <c r="T344" s="1">
        <f t="shared" si="101"/>
        <v>0</v>
      </c>
    </row>
    <row r="345" spans="1:20" x14ac:dyDescent="0.25">
      <c r="A345" s="20">
        <f t="shared" si="96"/>
        <v>3.3999999999999715</v>
      </c>
      <c r="C345" s="20">
        <f t="shared" si="86"/>
        <v>24.252394128760901</v>
      </c>
      <c r="D345" s="20">
        <f t="shared" si="89"/>
        <v>0.12634152806616328</v>
      </c>
      <c r="E345" s="20">
        <f t="shared" si="90"/>
        <v>2.7507408679765573</v>
      </c>
      <c r="F345" s="20">
        <f t="shared" si="91"/>
        <v>0.10612688357557716</v>
      </c>
      <c r="G345" s="20">
        <f t="shared" si="92"/>
        <v>2.3106223291003083</v>
      </c>
      <c r="I345" s="20">
        <f t="shared" si="87"/>
        <v>0.45179911939514023</v>
      </c>
      <c r="K345" s="20">
        <f t="shared" si="97"/>
        <v>21.818983855099102</v>
      </c>
      <c r="L345" s="20">
        <f t="shared" si="88"/>
        <v>-0.15999819821004821</v>
      </c>
      <c r="M345" s="20">
        <f t="shared" si="93"/>
        <v>-3.4835227130426349</v>
      </c>
      <c r="N345" s="1">
        <f t="shared" si="98"/>
        <v>125.07946913651007</v>
      </c>
      <c r="P345" s="20">
        <f t="shared" si="99"/>
        <v>10.588227637696548</v>
      </c>
      <c r="Q345" s="20">
        <f t="shared" si="94"/>
        <v>-0.41025365589076518</v>
      </c>
      <c r="R345" s="20">
        <f t="shared" si="95"/>
        <v>-8.9321501391414149</v>
      </c>
      <c r="S345" s="20">
        <f t="shared" si="100"/>
        <v>89.076553057235458</v>
      </c>
      <c r="T345" s="1">
        <f t="shared" si="101"/>
        <v>0</v>
      </c>
    </row>
    <row r="346" spans="1:20" x14ac:dyDescent="0.25">
      <c r="A346" s="20">
        <f t="shared" si="96"/>
        <v>3.4099999999999713</v>
      </c>
      <c r="C346" s="20">
        <f t="shared" si="86"/>
        <v>24.182145510776646</v>
      </c>
      <c r="D346" s="20">
        <f t="shared" si="89"/>
        <v>0.12561067537347279</v>
      </c>
      <c r="E346" s="20">
        <f t="shared" si="90"/>
        <v>2.7348285515670105</v>
      </c>
      <c r="F346" s="20">
        <f t="shared" si="91"/>
        <v>0.10551296731371715</v>
      </c>
      <c r="G346" s="20">
        <f t="shared" si="92"/>
        <v>2.2972559833162891</v>
      </c>
      <c r="I346" s="20">
        <f t="shared" si="87"/>
        <v>0.44910494965409931</v>
      </c>
      <c r="K346" s="20">
        <f t="shared" si="97"/>
        <v>21.784148627968676</v>
      </c>
      <c r="L346" s="20">
        <f t="shared" si="88"/>
        <v>-0.15896407371595314</v>
      </c>
      <c r="M346" s="20">
        <f t="shared" si="93"/>
        <v>-3.4610074834738329</v>
      </c>
      <c r="N346" s="1">
        <f t="shared" si="98"/>
        <v>125.2974847989254</v>
      </c>
      <c r="P346" s="20">
        <f t="shared" si="99"/>
        <v>10.498906136305134</v>
      </c>
      <c r="Q346" s="20">
        <f t="shared" si="94"/>
        <v>-0.41005847176693788</v>
      </c>
      <c r="R346" s="20">
        <f t="shared" si="95"/>
        <v>-8.9279005392322635</v>
      </c>
      <c r="S346" s="20">
        <f t="shared" si="100"/>
        <v>89.181988726105459</v>
      </c>
      <c r="T346" s="1">
        <f t="shared" si="101"/>
        <v>0</v>
      </c>
    </row>
    <row r="347" spans="1:20" x14ac:dyDescent="0.25">
      <c r="A347" s="20">
        <f t="shared" si="96"/>
        <v>3.4199999999999711</v>
      </c>
      <c r="C347" s="20">
        <f t="shared" si="86"/>
        <v>24.112294877901927</v>
      </c>
      <c r="D347" s="20">
        <f t="shared" si="89"/>
        <v>0.1248860652889827</v>
      </c>
      <c r="E347" s="20">
        <f t="shared" si="90"/>
        <v>2.7190521508596279</v>
      </c>
      <c r="F347" s="20">
        <f t="shared" si="91"/>
        <v>0.10490429484274547</v>
      </c>
      <c r="G347" s="20">
        <f t="shared" si="92"/>
        <v>2.2840038067220871</v>
      </c>
      <c r="I347" s="20">
        <f t="shared" si="87"/>
        <v>0.44639265959871355</v>
      </c>
      <c r="K347" s="20">
        <f t="shared" si="97"/>
        <v>21.749538553133938</v>
      </c>
      <c r="L347" s="20">
        <f t="shared" si="88"/>
        <v>-0.15793722268162702</v>
      </c>
      <c r="M347" s="20">
        <f t="shared" si="93"/>
        <v>-3.4386506135777712</v>
      </c>
      <c r="N347" s="1">
        <f t="shared" si="98"/>
        <v>125.5151532348309</v>
      </c>
      <c r="P347" s="20">
        <f t="shared" si="99"/>
        <v>10.409627130912812</v>
      </c>
      <c r="Q347" s="20">
        <f t="shared" si="94"/>
        <v>-0.40986366881238195</v>
      </c>
      <c r="R347" s="20">
        <f t="shared" si="95"/>
        <v>-8.9236592382404094</v>
      </c>
      <c r="S347" s="20">
        <f t="shared" si="100"/>
        <v>89.28653139244156</v>
      </c>
      <c r="T347" s="1">
        <f t="shared" si="101"/>
        <v>0</v>
      </c>
    </row>
    <row r="348" spans="1:20" x14ac:dyDescent="0.25">
      <c r="A348" s="20">
        <f t="shared" si="96"/>
        <v>3.4299999999999708</v>
      </c>
      <c r="C348" s="20">
        <f t="shared" si="86"/>
        <v>24.042842787242034</v>
      </c>
      <c r="D348" s="20">
        <f t="shared" si="89"/>
        <v>0.12416766773873315</v>
      </c>
      <c r="E348" s="20">
        <f t="shared" si="90"/>
        <v>2.7034110110762715</v>
      </c>
      <c r="F348" s="20">
        <f t="shared" si="91"/>
        <v>0.10430084090053585</v>
      </c>
      <c r="G348" s="20">
        <f t="shared" si="92"/>
        <v>2.2708652493040682</v>
      </c>
      <c r="I348" s="20">
        <f t="shared" si="87"/>
        <v>0.44366223144617212</v>
      </c>
      <c r="K348" s="20">
        <f t="shared" si="97"/>
        <v>21.71515204699816</v>
      </c>
      <c r="L348" s="20">
        <f t="shared" si="88"/>
        <v>-0.15691760035382935</v>
      </c>
      <c r="M348" s="20">
        <f t="shared" si="93"/>
        <v>-3.4164511289751656</v>
      </c>
      <c r="N348" s="1">
        <f t="shared" si="98"/>
        <v>125.73247668783156</v>
      </c>
      <c r="P348" s="20">
        <f t="shared" si="99"/>
        <v>10.320390538530408</v>
      </c>
      <c r="Q348" s="20">
        <f t="shared" si="94"/>
        <v>-0.40966924367998181</v>
      </c>
      <c r="R348" s="20">
        <f t="shared" si="95"/>
        <v>-8.9194261632915701</v>
      </c>
      <c r="S348" s="20">
        <f t="shared" si="100"/>
        <v>89.390181480788783</v>
      </c>
      <c r="T348" s="1">
        <f t="shared" si="101"/>
        <v>0</v>
      </c>
    </row>
    <row r="349" spans="1:20" x14ac:dyDescent="0.25">
      <c r="A349" s="20">
        <f t="shared" si="96"/>
        <v>3.4399999999999706</v>
      </c>
      <c r="C349" s="20">
        <f t="shared" si="86"/>
        <v>23.973789808454239</v>
      </c>
      <c r="D349" s="20">
        <f t="shared" si="89"/>
        <v>0.12345545291606916</v>
      </c>
      <c r="E349" s="20">
        <f t="shared" si="90"/>
        <v>2.6879044832586363</v>
      </c>
      <c r="F349" s="20">
        <f t="shared" si="91"/>
        <v>0.10370258044949809</v>
      </c>
      <c r="G349" s="20">
        <f t="shared" si="92"/>
        <v>2.2578397659372547</v>
      </c>
      <c r="I349" s="20">
        <f t="shared" si="87"/>
        <v>0.44091364854756043</v>
      </c>
      <c r="K349" s="20">
        <f t="shared" si="97"/>
        <v>21.680987535708407</v>
      </c>
      <c r="L349" s="20">
        <f t="shared" si="88"/>
        <v>-0.15590516229394985</v>
      </c>
      <c r="M349" s="20">
        <f t="shared" si="93"/>
        <v>-3.3944080621369443</v>
      </c>
      <c r="N349" s="1">
        <f t="shared" si="98"/>
        <v>125.94945738574509</v>
      </c>
      <c r="P349" s="20">
        <f t="shared" si="99"/>
        <v>10.231196276897492</v>
      </c>
      <c r="Q349" s="20">
        <f t="shared" si="94"/>
        <v>-0.4094751927845387</v>
      </c>
      <c r="R349" s="20">
        <f t="shared" si="95"/>
        <v>-8.9152012363278619</v>
      </c>
      <c r="S349" s="20">
        <f t="shared" si="100"/>
        <v>89.492939414865916</v>
      </c>
      <c r="T349" s="1">
        <f t="shared" si="101"/>
        <v>0</v>
      </c>
    </row>
    <row r="350" spans="1:20" x14ac:dyDescent="0.25">
      <c r="A350" s="20">
        <f t="shared" si="96"/>
        <v>3.4499999999999704</v>
      </c>
      <c r="C350" s="20">
        <f t="shared" si="86"/>
        <v>23.905136523563254</v>
      </c>
      <c r="D350" s="20">
        <f t="shared" si="89"/>
        <v>0.12274939127884878</v>
      </c>
      <c r="E350" s="20">
        <f t="shared" si="90"/>
        <v>2.6725319242074632</v>
      </c>
      <c r="F350" s="20">
        <f t="shared" si="91"/>
        <v>0.10310948867423297</v>
      </c>
      <c r="G350" s="20">
        <f t="shared" si="92"/>
        <v>2.244926816334269</v>
      </c>
      <c r="I350" s="20">
        <f t="shared" si="87"/>
        <v>0.43814689541545437</v>
      </c>
      <c r="K350" s="20">
        <f t="shared" si="97"/>
        <v>21.647043455087037</v>
      </c>
      <c r="L350" s="20">
        <f t="shared" si="88"/>
        <v>-0.15489986437334657</v>
      </c>
      <c r="M350" s="20">
        <f t="shared" si="93"/>
        <v>-3.372520452282747</v>
      </c>
      <c r="N350" s="1">
        <f t="shared" si="98"/>
        <v>126.16609754069907</v>
      </c>
      <c r="P350" s="20">
        <f t="shared" si="99"/>
        <v>10.142044264534213</v>
      </c>
      <c r="Q350" s="20">
        <f t="shared" si="94"/>
        <v>-0.40928151230427851</v>
      </c>
      <c r="R350" s="20">
        <f t="shared" si="95"/>
        <v>-8.9109843741406163</v>
      </c>
      <c r="S350" s="20">
        <f t="shared" si="100"/>
        <v>89.594805617573073</v>
      </c>
      <c r="T350" s="1">
        <f t="shared" si="101"/>
        <v>0</v>
      </c>
    </row>
    <row r="351" spans="1:20" x14ac:dyDescent="0.25">
      <c r="A351" s="20">
        <f t="shared" si="96"/>
        <v>3.4599999999999702</v>
      </c>
      <c r="C351" s="20">
        <f t="shared" si="86"/>
        <v>23.836883526772805</v>
      </c>
      <c r="D351" s="20">
        <f t="shared" si="89"/>
        <v>0.12204945354667776</v>
      </c>
      <c r="E351" s="20">
        <f t="shared" si="90"/>
        <v>2.6572926964223331</v>
      </c>
      <c r="F351" s="20">
        <f t="shared" si="91"/>
        <v>0.10252154097920932</v>
      </c>
      <c r="G351" s="20">
        <f t="shared" si="92"/>
        <v>2.2321258649947597</v>
      </c>
      <c r="I351" s="20">
        <f t="shared" si="87"/>
        <v>0.43536195775174102</v>
      </c>
      <c r="K351" s="20">
        <f t="shared" si="97"/>
        <v>21.613318250564209</v>
      </c>
      <c r="L351" s="20">
        <f t="shared" si="88"/>
        <v>-0.15390166276871026</v>
      </c>
      <c r="M351" s="20">
        <f t="shared" si="93"/>
        <v>-3.350787345279997</v>
      </c>
      <c r="N351" s="1">
        <f t="shared" si="98"/>
        <v>126.38239934922733</v>
      </c>
      <c r="P351" s="20">
        <f t="shared" si="99"/>
        <v>10.052934420792807</v>
      </c>
      <c r="Q351" s="20">
        <f t="shared" si="94"/>
        <v>-0.40908819818235304</v>
      </c>
      <c r="R351" s="20">
        <f t="shared" si="95"/>
        <v>-8.9067754884030705</v>
      </c>
      <c r="S351" s="20">
        <f t="shared" si="100"/>
        <v>89.695780510999711</v>
      </c>
      <c r="T351" s="1">
        <f t="shared" si="101"/>
        <v>0</v>
      </c>
    </row>
    <row r="352" spans="1:20" x14ac:dyDescent="0.25">
      <c r="A352" s="20">
        <f t="shared" si="96"/>
        <v>3.46999999999997</v>
      </c>
      <c r="C352" s="20">
        <f t="shared" si="86"/>
        <v>23.769031424273336</v>
      </c>
      <c r="D352" s="20">
        <f t="shared" si="89"/>
        <v>0.12135561069817112</v>
      </c>
      <c r="E352" s="20">
        <f t="shared" si="90"/>
        <v>2.6421861680420449</v>
      </c>
      <c r="F352" s="20">
        <f t="shared" si="91"/>
        <v>0.10193871298646374</v>
      </c>
      <c r="G352" s="20">
        <f t="shared" si="92"/>
        <v>2.2194363811553179</v>
      </c>
      <c r="I352" s="20">
        <f t="shared" si="87"/>
        <v>0.43255882247565841</v>
      </c>
      <c r="K352" s="20">
        <f t="shared" si="97"/>
        <v>21.579810377111411</v>
      </c>
      <c r="L352" s="20">
        <f t="shared" si="88"/>
        <v>-0.15291051395745581</v>
      </c>
      <c r="M352" s="20">
        <f t="shared" si="93"/>
        <v>-3.3292077935435622</v>
      </c>
      <c r="N352" s="1">
        <f t="shared" si="98"/>
        <v>126.5983649923657</v>
      </c>
      <c r="P352" s="20">
        <f t="shared" si="99"/>
        <v>9.9638666659087765</v>
      </c>
      <c r="Q352" s="20">
        <f t="shared" si="94"/>
        <v>-0.408895246128335</v>
      </c>
      <c r="R352" s="20">
        <f t="shared" si="95"/>
        <v>-8.9025744857029174</v>
      </c>
      <c r="S352" s="20">
        <f t="shared" si="100"/>
        <v>89.795864516433213</v>
      </c>
      <c r="T352" s="1">
        <f t="shared" si="101"/>
        <v>0</v>
      </c>
    </row>
    <row r="353" spans="1:20" x14ac:dyDescent="0.25">
      <c r="A353" s="20">
        <f t="shared" si="96"/>
        <v>3.4799999999999698</v>
      </c>
      <c r="C353" s="20">
        <f t="shared" si="86"/>
        <v>23.701580834045718</v>
      </c>
      <c r="D353" s="20">
        <f t="shared" si="89"/>
        <v>0.12066783396824032</v>
      </c>
      <c r="E353" s="20">
        <f t="shared" si="90"/>
        <v>2.6272117127855505</v>
      </c>
      <c r="F353" s="20">
        <f t="shared" si="91"/>
        <v>0.10136098053332188</v>
      </c>
      <c r="G353" s="20">
        <f t="shared" si="92"/>
        <v>2.2068578387398623</v>
      </c>
      <c r="I353" s="20">
        <f t="shared" si="87"/>
        <v>0.42973747775204685</v>
      </c>
      <c r="K353" s="20">
        <f t="shared" si="97"/>
        <v>21.546518299175975</v>
      </c>
      <c r="L353" s="20">
        <f t="shared" si="88"/>
        <v>-0.15192637471313949</v>
      </c>
      <c r="M353" s="20">
        <f t="shared" si="93"/>
        <v>-3.3077808559359787</v>
      </c>
      <c r="N353" s="1">
        <f t="shared" si="98"/>
        <v>126.81399663574715</v>
      </c>
      <c r="P353" s="20">
        <f t="shared" si="99"/>
        <v>9.8748409210517476</v>
      </c>
      <c r="Q353" s="20">
        <f t="shared" si="94"/>
        <v>-0.40870265161970865</v>
      </c>
      <c r="R353" s="20">
        <f t="shared" si="95"/>
        <v>-8.8983812675747593</v>
      </c>
      <c r="S353" s="20">
        <f t="shared" si="100"/>
        <v>89.895058054368022</v>
      </c>
      <c r="T353" s="1">
        <f t="shared" si="101"/>
        <v>0</v>
      </c>
    </row>
    <row r="354" spans="1:20" x14ac:dyDescent="0.25">
      <c r="A354" s="20">
        <f t="shared" si="96"/>
        <v>3.4899999999999696</v>
      </c>
      <c r="C354" s="20">
        <f t="shared" si="86"/>
        <v>23.634532385660936</v>
      </c>
      <c r="D354" s="20">
        <f t="shared" si="89"/>
        <v>0.11998609484540612</v>
      </c>
      <c r="E354" s="20">
        <f t="shared" si="90"/>
        <v>2.6123687098934494</v>
      </c>
      <c r="F354" s="20">
        <f t="shared" si="91"/>
        <v>0.10078831967014115</v>
      </c>
      <c r="G354" s="20">
        <f t="shared" si="92"/>
        <v>2.1943897163104977</v>
      </c>
      <c r="I354" s="20">
        <f t="shared" si="87"/>
        <v>0.4268979130198019</v>
      </c>
      <c r="K354" s="20">
        <f t="shared" si="97"/>
        <v>21.513440490616617</v>
      </c>
      <c r="L354" s="20">
        <f t="shared" si="88"/>
        <v>-0.15094920210090212</v>
      </c>
      <c r="M354" s="20">
        <f t="shared" si="93"/>
        <v>-3.2865055976682371</v>
      </c>
      <c r="N354" s="1">
        <f t="shared" si="98"/>
        <v>127.02929642969612</v>
      </c>
      <c r="P354" s="20">
        <f t="shared" si="99"/>
        <v>9.7858571083759998</v>
      </c>
      <c r="Q354" s="20">
        <f t="shared" si="94"/>
        <v>-0.40851040990335591</v>
      </c>
      <c r="R354" s="20">
        <f t="shared" si="95"/>
        <v>-8.894195730532461</v>
      </c>
      <c r="S354" s="20">
        <f t="shared" si="100"/>
        <v>89.993361544515153</v>
      </c>
      <c r="T354" s="1">
        <f t="shared" si="101"/>
        <v>0</v>
      </c>
    </row>
    <row r="355" spans="1:20" x14ac:dyDescent="0.25">
      <c r="A355" s="20">
        <f t="shared" si="96"/>
        <v>3.4999999999999694</v>
      </c>
      <c r="C355" s="20">
        <f t="shared" si="86"/>
        <v>23.567886720075702</v>
      </c>
      <c r="D355" s="20">
        <f t="shared" si="89"/>
        <v>0.11931036506913678</v>
      </c>
      <c r="E355" s="20">
        <f t="shared" si="90"/>
        <v>2.5976565440700368</v>
      </c>
      <c r="F355" s="20">
        <f t="shared" si="91"/>
        <v>0.10022070665807491</v>
      </c>
      <c r="G355" s="20">
        <f t="shared" si="92"/>
        <v>2.1820314970188313</v>
      </c>
      <c r="I355" s="20">
        <f t="shared" si="87"/>
        <v>0.42404011902052263</v>
      </c>
      <c r="K355" s="20">
        <f t="shared" si="97"/>
        <v>21.480575434639935</v>
      </c>
      <c r="L355" s="20">
        <f t="shared" si="88"/>
        <v>-0.14997895347293849</v>
      </c>
      <c r="M355" s="20">
        <f t="shared" si="93"/>
        <v>-3.2653810902011431</v>
      </c>
      <c r="N355" s="1">
        <f t="shared" si="98"/>
        <v>127.2442665093224</v>
      </c>
      <c r="P355" s="20">
        <f t="shared" si="99"/>
        <v>9.6969151510706748</v>
      </c>
      <c r="Q355" s="20">
        <f t="shared" si="94"/>
        <v>-0.40831851599704067</v>
      </c>
      <c r="R355" s="20">
        <f t="shared" si="95"/>
        <v>-8.8900177661014741</v>
      </c>
      <c r="S355" s="20">
        <f t="shared" si="100"/>
        <v>90.090775405812394</v>
      </c>
      <c r="T355" s="1">
        <f t="shared" si="101"/>
        <v>0</v>
      </c>
    </row>
    <row r="356" spans="1:20" x14ac:dyDescent="0.25">
      <c r="A356" s="20">
        <f t="shared" si="96"/>
        <v>3.5099999999999691</v>
      </c>
      <c r="C356" s="20">
        <f t="shared" si="86"/>
        <v>23.501644489423903</v>
      </c>
      <c r="D356" s="20">
        <f t="shared" si="89"/>
        <v>0.1186406166272109</v>
      </c>
      <c r="E356" s="20">
        <f t="shared" si="90"/>
        <v>2.5830746054258853</v>
      </c>
      <c r="F356" s="20">
        <f t="shared" si="91"/>
        <v>9.9658117966857154E-2</v>
      </c>
      <c r="G356" s="20">
        <f t="shared" si="92"/>
        <v>2.1697826685577435</v>
      </c>
      <c r="I356" s="20">
        <f t="shared" si="87"/>
        <v>0.42116408782734338</v>
      </c>
      <c r="K356" s="20">
        <f t="shared" si="97"/>
        <v>21.447921623737923</v>
      </c>
      <c r="L356" s="20">
        <f t="shared" si="88"/>
        <v>-0.14901558646399193</v>
      </c>
      <c r="M356" s="20">
        <f t="shared" si="93"/>
        <v>-3.2444064111472226</v>
      </c>
      <c r="N356" s="1">
        <f t="shared" si="98"/>
        <v>127.45890899461429</v>
      </c>
      <c r="P356" s="20">
        <f t="shared" si="99"/>
        <v>9.6080149734096594</v>
      </c>
      <c r="Q356" s="20">
        <f t="shared" si="94"/>
        <v>-0.40812696469089005</v>
      </c>
      <c r="R356" s="20">
        <f t="shared" si="95"/>
        <v>-8.8858472608510795</v>
      </c>
      <c r="S356" s="20">
        <f t="shared" si="100"/>
        <v>90.187300056434793</v>
      </c>
      <c r="T356" s="1">
        <f t="shared" si="101"/>
        <v>0</v>
      </c>
    </row>
    <row r="357" spans="1:20" x14ac:dyDescent="0.25">
      <c r="A357" s="20">
        <f t="shared" si="96"/>
        <v>3.5199999999999689</v>
      </c>
      <c r="C357" s="20">
        <f t="shared" si="86"/>
        <v>23.435806356803873</v>
      </c>
      <c r="D357" s="20">
        <f t="shared" si="89"/>
        <v>0.11797682175310485</v>
      </c>
      <c r="E357" s="20">
        <f t="shared" si="90"/>
        <v>2.5686222894209636</v>
      </c>
      <c r="F357" s="20">
        <f t="shared" si="91"/>
        <v>9.9100530272608081E-2</v>
      </c>
      <c r="G357" s="20">
        <f t="shared" si="92"/>
        <v>2.1576427231136095</v>
      </c>
      <c r="I357" s="20">
        <f t="shared" si="87"/>
        <v>0.41826981287394099</v>
      </c>
      <c r="K357" s="20">
        <f t="shared" si="97"/>
        <v>21.415477559626449</v>
      </c>
      <c r="L357" s="20">
        <f t="shared" si="88"/>
        <v>-0.14805905898687502</v>
      </c>
      <c r="M357" s="20">
        <f t="shared" si="93"/>
        <v>-3.2235806441731989</v>
      </c>
      <c r="N357" s="1">
        <f t="shared" si="98"/>
        <v>127.67322599053111</v>
      </c>
      <c r="P357" s="20">
        <f t="shared" si="99"/>
        <v>9.5191565008011487</v>
      </c>
      <c r="Q357" s="20">
        <f t="shared" si="94"/>
        <v>-0.40793575054887593</v>
      </c>
      <c r="R357" s="20">
        <f t="shared" si="95"/>
        <v>-8.8816840964266479</v>
      </c>
      <c r="S357" s="20">
        <f t="shared" si="100"/>
        <v>90.282935913805844</v>
      </c>
      <c r="T357" s="1">
        <f t="shared" si="101"/>
        <v>0</v>
      </c>
    </row>
    <row r="358" spans="1:20" x14ac:dyDescent="0.25">
      <c r="A358" s="20">
        <f t="shared" si="96"/>
        <v>3.5299999999999687</v>
      </c>
      <c r="C358" s="20">
        <f t="shared" si="86"/>
        <v>23.37037299606137</v>
      </c>
      <c r="D358" s="20">
        <f t="shared" si="89"/>
        <v>0.11731895292340418</v>
      </c>
      <c r="E358" s="20">
        <f t="shared" si="90"/>
        <v>2.5542989968082774</v>
      </c>
      <c r="F358" s="20">
        <f t="shared" si="91"/>
        <v>9.8547920455659507E-2</v>
      </c>
      <c r="G358" s="20">
        <f t="shared" si="92"/>
        <v>2.1456111573189531</v>
      </c>
      <c r="I358" s="20">
        <f t="shared" si="87"/>
        <v>0.41535728898370661</v>
      </c>
      <c r="K358" s="20">
        <f t="shared" si="97"/>
        <v>21.383241753184716</v>
      </c>
      <c r="L358" s="20">
        <f t="shared" si="88"/>
        <v>-0.14710932922801503</v>
      </c>
      <c r="M358" s="20">
        <f t="shared" si="93"/>
        <v>-3.2029028789030054</v>
      </c>
      <c r="N358" s="1">
        <f t="shared" si="98"/>
        <v>127.88721958709517</v>
      </c>
      <c r="P358" s="20">
        <f t="shared" si="99"/>
        <v>9.430339659836882</v>
      </c>
      <c r="Q358" s="20">
        <f t="shared" si="94"/>
        <v>-0.40774486791029585</v>
      </c>
      <c r="R358" s="20">
        <f t="shared" si="95"/>
        <v>-8.8775281495818827</v>
      </c>
      <c r="S358" s="20">
        <f t="shared" si="100"/>
        <v>90.377683394609036</v>
      </c>
      <c r="T358" s="1">
        <f t="shared" si="101"/>
        <v>0</v>
      </c>
    </row>
    <row r="359" spans="1:20" x14ac:dyDescent="0.25">
      <c r="A359" s="20">
        <f t="shared" si="96"/>
        <v>3.5399999999999685</v>
      </c>
      <c r="C359" s="20">
        <f t="shared" si="86"/>
        <v>23.305345091568306</v>
      </c>
      <c r="D359" s="20">
        <f t="shared" si="89"/>
        <v>0.11666698285523885</v>
      </c>
      <c r="E359" s="20">
        <f t="shared" si="90"/>
        <v>2.5401041335780286</v>
      </c>
      <c r="F359" s="20">
        <f t="shared" si="91"/>
        <v>9.8000265598400638E-2</v>
      </c>
      <c r="G359" s="20">
        <f t="shared" si="92"/>
        <v>2.1336874722055441</v>
      </c>
      <c r="I359" s="20">
        <f t="shared" si="87"/>
        <v>0.41242651239907213</v>
      </c>
      <c r="K359" s="20">
        <f t="shared" si="97"/>
        <v>21.351212724395687</v>
      </c>
      <c r="L359" s="20">
        <f t="shared" si="88"/>
        <v>-0.14616635564302552</v>
      </c>
      <c r="M359" s="20">
        <f t="shared" si="93"/>
        <v>-3.1823722108213701</v>
      </c>
      <c r="N359" s="1">
        <f t="shared" si="98"/>
        <v>128.10089185948306</v>
      </c>
      <c r="P359" s="20">
        <f t="shared" si="99"/>
        <v>9.3415643783410633</v>
      </c>
      <c r="Q359" s="20">
        <f t="shared" si="94"/>
        <v>-0.40755431089125582</v>
      </c>
      <c r="R359" s="20">
        <f t="shared" si="95"/>
        <v>-8.8733792922110997</v>
      </c>
      <c r="S359" s="20">
        <f t="shared" si="100"/>
        <v>90.471542914799926</v>
      </c>
      <c r="T359" s="1">
        <f t="shared" si="101"/>
        <v>0</v>
      </c>
    </row>
    <row r="360" spans="1:20" x14ac:dyDescent="0.25">
      <c r="A360" s="20">
        <f t="shared" si="96"/>
        <v>3.5499999999999683</v>
      </c>
      <c r="C360" s="20">
        <f t="shared" si="86"/>
        <v>23.240723337997046</v>
      </c>
      <c r="D360" s="20">
        <f t="shared" si="89"/>
        <v>0.11602088450374164</v>
      </c>
      <c r="E360" s="20">
        <f t="shared" si="90"/>
        <v>2.5260371109022781</v>
      </c>
      <c r="F360" s="20">
        <f t="shared" si="91"/>
        <v>9.7457542983142978E-2</v>
      </c>
      <c r="G360" s="20">
        <f t="shared" si="92"/>
        <v>2.1218711731579138</v>
      </c>
      <c r="I360" s="20">
        <f t="shared" si="87"/>
        <v>0.40947748081097951</v>
      </c>
      <c r="K360" s="20">
        <f t="shared" si="97"/>
        <v>21.319389002287473</v>
      </c>
      <c r="L360" s="20">
        <f t="shared" si="88"/>
        <v>-0.14523009695230216</v>
      </c>
      <c r="M360" s="20">
        <f t="shared" si="93"/>
        <v>-3.1619877411779265</v>
      </c>
      <c r="N360" s="1">
        <f t="shared" si="98"/>
        <v>128.31424486811645</v>
      </c>
      <c r="P360" s="20">
        <f t="shared" si="99"/>
        <v>9.2528305854189519</v>
      </c>
      <c r="Q360" s="20">
        <f t="shared" si="94"/>
        <v>-0.40736407338615477</v>
      </c>
      <c r="R360" s="20">
        <f t="shared" si="95"/>
        <v>-8.8692373913815548</v>
      </c>
      <c r="S360" s="20">
        <f t="shared" si="100"/>
        <v>90.564514889618735</v>
      </c>
      <c r="T360" s="1">
        <f t="shared" si="101"/>
        <v>0</v>
      </c>
    </row>
    <row r="361" spans="1:20" x14ac:dyDescent="0.25">
      <c r="A361" s="20">
        <f t="shared" si="96"/>
        <v>3.5599999999999681</v>
      </c>
      <c r="C361" s="20">
        <f t="shared" si="86"/>
        <v>23.176508440090355</v>
      </c>
      <c r="D361" s="20">
        <f t="shared" si="89"/>
        <v>0.11538063105952973</v>
      </c>
      <c r="E361" s="20">
        <f t="shared" si="90"/>
        <v>2.5120973450801158</v>
      </c>
      <c r="F361" s="20">
        <f t="shared" si="91"/>
        <v>9.6919730090004971E-2</v>
      </c>
      <c r="G361" s="20">
        <f t="shared" si="92"/>
        <v>2.1101617698672976</v>
      </c>
      <c r="I361" s="20">
        <f t="shared" si="87"/>
        <v>0.4065101933884821</v>
      </c>
      <c r="K361" s="20">
        <f t="shared" si="97"/>
        <v>21.287769124875695</v>
      </c>
      <c r="L361" s="20">
        <f t="shared" si="88"/>
        <v>-0.14430051213664483</v>
      </c>
      <c r="M361" s="20">
        <f t="shared" si="93"/>
        <v>-3.1417485768918971</v>
      </c>
      <c r="N361" s="1">
        <f t="shared" si="98"/>
        <v>128.52728065875226</v>
      </c>
      <c r="P361" s="20">
        <f t="shared" si="99"/>
        <v>9.1641382115051364</v>
      </c>
      <c r="Q361" s="20">
        <f t="shared" si="94"/>
        <v>-0.40717414906917243</v>
      </c>
      <c r="R361" s="20">
        <f t="shared" si="95"/>
        <v>-8.8651023093658274</v>
      </c>
      <c r="S361" s="20">
        <f t="shared" si="100"/>
        <v>90.656599733603358</v>
      </c>
      <c r="T361" s="1">
        <f t="shared" si="101"/>
        <v>0</v>
      </c>
    </row>
    <row r="362" spans="1:20" x14ac:dyDescent="0.25">
      <c r="A362" s="20">
        <f t="shared" si="96"/>
        <v>3.5699999999999679</v>
      </c>
      <c r="C362" s="20">
        <f t="shared" si="86"/>
        <v>23.112701112426866</v>
      </c>
      <c r="D362" s="20">
        <f t="shared" si="89"/>
        <v>0.1147461959462089</v>
      </c>
      <c r="E362" s="20">
        <f t="shared" si="90"/>
        <v>2.4982842574833204</v>
      </c>
      <c r="F362" s="20">
        <f t="shared" si="91"/>
        <v>9.6386804594815481E-2</v>
      </c>
      <c r="G362" s="20">
        <f t="shared" si="92"/>
        <v>2.0985587762859894</v>
      </c>
      <c r="I362" s="20">
        <f t="shared" si="87"/>
        <v>0.40352465080846556</v>
      </c>
      <c r="K362" s="20">
        <f t="shared" si="97"/>
        <v>21.256351639106775</v>
      </c>
      <c r="L362" s="20">
        <f t="shared" si="88"/>
        <v>-0.14337756043290412</v>
      </c>
      <c r="M362" s="20">
        <f t="shared" si="93"/>
        <v>-3.1216538304573072</v>
      </c>
      <c r="N362" s="1">
        <f t="shared" si="98"/>
        <v>128.74000126257218</v>
      </c>
      <c r="P362" s="20">
        <f t="shared" si="99"/>
        <v>9.0754871884114774</v>
      </c>
      <c r="Q362" s="20">
        <f t="shared" si="94"/>
        <v>-0.40698453139576157</v>
      </c>
      <c r="R362" s="20">
        <f t="shared" si="95"/>
        <v>-8.8609739036743207</v>
      </c>
      <c r="S362" s="20">
        <f t="shared" si="100"/>
        <v>90.747797860602944</v>
      </c>
      <c r="T362" s="1">
        <f t="shared" si="101"/>
        <v>0</v>
      </c>
    </row>
    <row r="363" spans="1:20" x14ac:dyDescent="0.25">
      <c r="A363" s="20">
        <f t="shared" si="96"/>
        <v>3.5799999999999677</v>
      </c>
      <c r="C363" s="20">
        <f t="shared" si="86"/>
        <v>23.049302079182045</v>
      </c>
      <c r="D363" s="20">
        <f t="shared" si="89"/>
        <v>0.11411755281789995</v>
      </c>
      <c r="E363" s="20">
        <f t="shared" si="90"/>
        <v>2.4845972745025029</v>
      </c>
      <c r="F363" s="20">
        <f t="shared" si="91"/>
        <v>9.5858744367035967E-2</v>
      </c>
      <c r="G363" s="20">
        <f t="shared" si="92"/>
        <v>2.0870617105821023</v>
      </c>
      <c r="I363" s="20">
        <f t="shared" si="87"/>
        <v>0.40052085528547632</v>
      </c>
      <c r="K363" s="20">
        <f t="shared" si="97"/>
        <v>21.225135100802202</v>
      </c>
      <c r="L363" s="20">
        <f t="shared" si="88"/>
        <v>-0.14246120132965331</v>
      </c>
      <c r="M363" s="20">
        <f t="shared" si="93"/>
        <v>-3.1017026198487549</v>
      </c>
      <c r="N363" s="1">
        <f t="shared" si="98"/>
        <v>128.95240869627173</v>
      </c>
      <c r="P363" s="20">
        <f t="shared" si="99"/>
        <v>8.9868774493747345</v>
      </c>
      <c r="Q363" s="20">
        <f t="shared" si="94"/>
        <v>-0.40679521360414528</v>
      </c>
      <c r="R363" s="20">
        <f t="shared" si="95"/>
        <v>-8.8568520270878572</v>
      </c>
      <c r="S363" s="20">
        <f t="shared" si="100"/>
        <v>90.83810968379187</v>
      </c>
      <c r="T363" s="1">
        <f t="shared" si="101"/>
        <v>0</v>
      </c>
    </row>
    <row r="364" spans="1:20" x14ac:dyDescent="0.25">
      <c r="A364" s="20">
        <f t="shared" si="96"/>
        <v>3.5899999999999674</v>
      </c>
      <c r="C364" s="20">
        <f t="shared" si="86"/>
        <v>22.986312073884605</v>
      </c>
      <c r="D364" s="20">
        <f t="shared" si="89"/>
        <v>0.11349467555678716</v>
      </c>
      <c r="E364" s="20">
        <f t="shared" si="90"/>
        <v>2.4710358274937332</v>
      </c>
      <c r="F364" s="20">
        <f t="shared" si="91"/>
        <v>9.5335527467701214E-2</v>
      </c>
      <c r="G364" s="20">
        <f t="shared" si="92"/>
        <v>2.0756700950947358</v>
      </c>
      <c r="I364" s="20">
        <f t="shared" si="87"/>
        <v>0.3974988106016446</v>
      </c>
      <c r="K364" s="20">
        <f t="shared" si="97"/>
        <v>21.194118074603715</v>
      </c>
      <c r="L364" s="20">
        <f t="shared" si="88"/>
        <v>-0.14155139456288551</v>
      </c>
      <c r="M364" s="20">
        <f t="shared" si="93"/>
        <v>-3.0818940684277272</v>
      </c>
      <c r="N364" s="1">
        <f t="shared" si="98"/>
        <v>129.16450496214878</v>
      </c>
      <c r="P364" s="20">
        <f t="shared" si="99"/>
        <v>8.8983089291038553</v>
      </c>
      <c r="Q364" s="20">
        <f t="shared" si="94"/>
        <v>-0.4066061887168203</v>
      </c>
      <c r="R364" s="20">
        <f t="shared" si="95"/>
        <v>-8.8527365276904053</v>
      </c>
      <c r="S364" s="20">
        <f t="shared" si="100"/>
        <v>90.927535615684263</v>
      </c>
      <c r="T364" s="1">
        <f t="shared" si="101"/>
        <v>0</v>
      </c>
    </row>
    <row r="365" spans="1:20" x14ac:dyDescent="0.25">
      <c r="A365" s="20">
        <f t="shared" si="96"/>
        <v>3.5999999999999672</v>
      </c>
      <c r="C365" s="20">
        <f t="shared" ref="C365:C428" si="102">SQRT((K365^2)+(P365^2))</f>
        <v>22.923731839168344</v>
      </c>
      <c r="D365" s="20">
        <f t="shared" si="89"/>
        <v>0.11287753827068837</v>
      </c>
      <c r="E365" s="20">
        <f t="shared" si="90"/>
        <v>2.4575993527256341</v>
      </c>
      <c r="F365" s="20">
        <f t="shared" si="91"/>
        <v>9.4817132147378233E-2</v>
      </c>
      <c r="G365" s="20">
        <f t="shared" si="92"/>
        <v>2.0643834562895327</v>
      </c>
      <c r="I365" s="20">
        <f t="shared" ref="I365:I428" si="103">ATAN(P365/K365)</f>
        <v>0.39445852213668858</v>
      </c>
      <c r="K365" s="20">
        <f t="shared" si="97"/>
        <v>21.163299133919438</v>
      </c>
      <c r="L365" s="20">
        <f t="shared" ref="L365:L428" si="104">-(D365*COS(I365))-(F365*SIN(I365))</f>
        <v>-0.14064810011173579</v>
      </c>
      <c r="M365" s="20">
        <f t="shared" si="93"/>
        <v>-3.0622273048494622</v>
      </c>
      <c r="N365" s="1">
        <f t="shared" si="98"/>
        <v>129.3762920481914</v>
      </c>
      <c r="P365" s="20">
        <f t="shared" si="99"/>
        <v>8.8097815638269505</v>
      </c>
      <c r="Q365" s="20">
        <f t="shared" si="94"/>
        <v>-0.40641744954206793</v>
      </c>
      <c r="R365" s="20">
        <f t="shared" si="95"/>
        <v>-8.8486272489019804</v>
      </c>
      <c r="S365" s="20">
        <f t="shared" si="100"/>
        <v>91.016076068148919</v>
      </c>
      <c r="T365" s="1">
        <f t="shared" si="101"/>
        <v>0</v>
      </c>
    </row>
    <row r="366" spans="1:20" x14ac:dyDescent="0.25">
      <c r="A366" s="20">
        <f t="shared" si="96"/>
        <v>3.609999999999967</v>
      </c>
      <c r="C366" s="20">
        <f t="shared" si="102"/>
        <v>22.861562126519338</v>
      </c>
      <c r="D366" s="20">
        <f t="shared" si="89"/>
        <v>0.1122661152906463</v>
      </c>
      <c r="E366" s="20">
        <f t="shared" si="90"/>
        <v>2.4442872913269387</v>
      </c>
      <c r="F366" s="20">
        <f t="shared" si="91"/>
        <v>9.4303536844142902E-2</v>
      </c>
      <c r="G366" s="20">
        <f t="shared" si="92"/>
        <v>2.053201324714629</v>
      </c>
      <c r="I366" s="20">
        <f t="shared" si="103"/>
        <v>0.39139999689798555</v>
      </c>
      <c r="K366" s="20">
        <f t="shared" si="97"/>
        <v>21.132676860870944</v>
      </c>
      <c r="L366" s="20">
        <f t="shared" si="104"/>
        <v>-0.13975127819422872</v>
      </c>
      <c r="M366" s="20">
        <f t="shared" si="93"/>
        <v>-3.0427014629703621</v>
      </c>
      <c r="N366" s="1">
        <f t="shared" si="98"/>
        <v>129.58777192816535</v>
      </c>
      <c r="P366" s="20">
        <f t="shared" si="99"/>
        <v>8.7212952913379311</v>
      </c>
      <c r="Q366" s="20">
        <f t="shared" si="94"/>
        <v>-0.4062289886754728</v>
      </c>
      <c r="R366" s="20">
        <f t="shared" si="95"/>
        <v>-8.8445240295117102</v>
      </c>
      <c r="S366" s="20">
        <f t="shared" si="100"/>
        <v>91.103731452424739</v>
      </c>
      <c r="T366" s="1">
        <f t="shared" si="101"/>
        <v>0</v>
      </c>
    </row>
    <row r="367" spans="1:20" x14ac:dyDescent="0.25">
      <c r="A367" s="20">
        <f t="shared" si="96"/>
        <v>3.6199999999999668</v>
      </c>
      <c r="C367" s="20">
        <f t="shared" si="102"/>
        <v>22.79980369601849</v>
      </c>
      <c r="D367" s="20">
        <f t="shared" si="89"/>
        <v>0.11166038116854096</v>
      </c>
      <c r="E367" s="20">
        <f t="shared" si="90"/>
        <v>2.4310990892345083</v>
      </c>
      <c r="F367" s="20">
        <f t="shared" si="91"/>
        <v>9.379472018157442E-2</v>
      </c>
      <c r="G367" s="20">
        <f t="shared" si="92"/>
        <v>2.0421232349569873</v>
      </c>
      <c r="I367" s="20">
        <f t="shared" si="103"/>
        <v>0.38832324355069658</v>
      </c>
      <c r="K367" s="20">
        <f t="shared" si="97"/>
        <v>21.102249846241239</v>
      </c>
      <c r="L367" s="20">
        <f t="shared" si="104"/>
        <v>-0.1388608892630514</v>
      </c>
      <c r="M367" s="20">
        <f t="shared" si="93"/>
        <v>-3.0233156817559634</v>
      </c>
      <c r="N367" s="1">
        <f t="shared" si="98"/>
        <v>129.79894656170092</v>
      </c>
      <c r="P367" s="20">
        <f t="shared" si="99"/>
        <v>8.6328500510428139</v>
      </c>
      <c r="Q367" s="20">
        <f t="shared" si="94"/>
        <v>-0.40604079850145086</v>
      </c>
      <c r="R367" s="20">
        <f t="shared" si="95"/>
        <v>-8.8404267037111008</v>
      </c>
      <c r="S367" s="20">
        <f t="shared" si="100"/>
        <v>91.190502179136644</v>
      </c>
      <c r="T367" s="1">
        <f t="shared" si="101"/>
        <v>0</v>
      </c>
    </row>
    <row r="368" spans="1:20" x14ac:dyDescent="0.25">
      <c r="A368" s="20">
        <f t="shared" si="96"/>
        <v>3.6299999999999666</v>
      </c>
      <c r="C368" s="20">
        <f t="shared" si="102"/>
        <v>22.738457316079362</v>
      </c>
      <c r="D368" s="20">
        <f t="shared" si="89"/>
        <v>0.11106031067472287</v>
      </c>
      <c r="E368" s="20">
        <f t="shared" si="90"/>
        <v>2.4180341971417998</v>
      </c>
      <c r="F368" s="20">
        <f t="shared" si="91"/>
        <v>9.3290660966767205E-2</v>
      </c>
      <c r="G368" s="20">
        <f t="shared" si="92"/>
        <v>2.0311487255991119</v>
      </c>
      <c r="I368" s="20">
        <f t="shared" si="103"/>
        <v>0.3852282724479289</v>
      </c>
      <c r="K368" s="20">
        <f t="shared" si="97"/>
        <v>21.07201668942368</v>
      </c>
      <c r="L368" s="20">
        <f t="shared" si="104"/>
        <v>-0.13797689400135155</v>
      </c>
      <c r="M368" s="20">
        <f t="shared" si="93"/>
        <v>-3.0040691051894526</v>
      </c>
      <c r="N368" s="1">
        <f t="shared" si="98"/>
        <v>130.00981789437924</v>
      </c>
      <c r="P368" s="20">
        <f t="shared" si="99"/>
        <v>8.5444457840057026</v>
      </c>
      <c r="Q368" s="20">
        <f t="shared" si="94"/>
        <v>-0.40585287119478775</v>
      </c>
      <c r="R368" s="20">
        <f t="shared" si="95"/>
        <v>-8.8363351011275366</v>
      </c>
      <c r="S368" s="20">
        <f t="shared" si="100"/>
        <v>91.276388658311888</v>
      </c>
      <c r="T368" s="1">
        <f t="shared" si="101"/>
        <v>0</v>
      </c>
    </row>
    <row r="369" spans="1:20" x14ac:dyDescent="0.25">
      <c r="A369" s="20">
        <f t="shared" si="96"/>
        <v>3.6399999999999664</v>
      </c>
      <c r="C369" s="20">
        <f t="shared" si="102"/>
        <v>22.67752376318127</v>
      </c>
      <c r="D369" s="20">
        <f t="shared" si="89"/>
        <v>0.11046587879566599</v>
      </c>
      <c r="E369" s="20">
        <f t="shared" si="90"/>
        <v>2.4050920704477683</v>
      </c>
      <c r="F369" s="20">
        <f t="shared" si="91"/>
        <v>9.279133818835944E-2</v>
      </c>
      <c r="G369" s="20">
        <f t="shared" si="92"/>
        <v>2.0202773391761255</v>
      </c>
      <c r="I369" s="20">
        <f t="shared" si="103"/>
        <v>0.38211509566092172</v>
      </c>
      <c r="K369" s="20">
        <f t="shared" si="97"/>
        <v>21.041975998371786</v>
      </c>
      <c r="L369" s="20">
        <f t="shared" si="104"/>
        <v>-0.13709925331856126</v>
      </c>
      <c r="M369" s="20">
        <f t="shared" si="93"/>
        <v>-2.9849608821807374</v>
      </c>
      <c r="N369" s="1">
        <f t="shared" si="98"/>
        <v>130.22038785781822</v>
      </c>
      <c r="P369" s="20">
        <f t="shared" si="99"/>
        <v>8.4560824329944264</v>
      </c>
      <c r="Q369" s="20">
        <f t="shared" si="94"/>
        <v>-0.40566519872218787</v>
      </c>
      <c r="R369" s="20">
        <f t="shared" si="95"/>
        <v>-8.8322490468579993</v>
      </c>
      <c r="S369" s="20">
        <f t="shared" si="100"/>
        <v>91.361391299396885</v>
      </c>
      <c r="T369" s="1">
        <f t="shared" si="101"/>
        <v>0</v>
      </c>
    </row>
    <row r="370" spans="1:20" x14ac:dyDescent="0.25">
      <c r="A370" s="20">
        <f t="shared" si="96"/>
        <v>3.6499999999999662</v>
      </c>
      <c r="C370" s="20">
        <f t="shared" si="102"/>
        <v>22.617003821597653</v>
      </c>
      <c r="D370" s="20">
        <f t="shared" si="89"/>
        <v>0.10987706073164179</v>
      </c>
      <c r="E370" s="20">
        <f t="shared" si="90"/>
        <v>2.3922721692062221</v>
      </c>
      <c r="F370" s="20">
        <f t="shared" si="91"/>
        <v>9.2296731014579095E-2</v>
      </c>
      <c r="G370" s="20">
        <f t="shared" si="92"/>
        <v>2.0095086221332266</v>
      </c>
      <c r="I370" s="20">
        <f t="shared" si="103"/>
        <v>0.3789837270092381</v>
      </c>
      <c r="K370" s="20">
        <f t="shared" si="97"/>
        <v>21.01212638954998</v>
      </c>
      <c r="L370" s="20">
        <f t="shared" si="104"/>
        <v>-0.13622792834624675</v>
      </c>
      <c r="M370" s="20">
        <f t="shared" si="93"/>
        <v>-2.9659901664760886</v>
      </c>
      <c r="N370" s="1">
        <f t="shared" si="98"/>
        <v>130.43065836975785</v>
      </c>
      <c r="P370" s="20">
        <f t="shared" si="99"/>
        <v>8.3677599425258471</v>
      </c>
      <c r="Q370" s="20">
        <f t="shared" si="94"/>
        <v>-0.40547777284383602</v>
      </c>
      <c r="R370" s="20">
        <f t="shared" si="95"/>
        <v>-8.8281683615030708</v>
      </c>
      <c r="S370" s="20">
        <f t="shared" si="100"/>
        <v>91.445510511274477</v>
      </c>
      <c r="T370" s="1">
        <f t="shared" si="101"/>
        <v>0</v>
      </c>
    </row>
    <row r="371" spans="1:20" x14ac:dyDescent="0.25">
      <c r="A371" s="20">
        <f t="shared" si="96"/>
        <v>3.6599999999999659</v>
      </c>
      <c r="C371" s="20">
        <f t="shared" si="102"/>
        <v>22.556898283119583</v>
      </c>
      <c r="D371" s="20">
        <f t="shared" si="89"/>
        <v>0.10929383189441187</v>
      </c>
      <c r="E371" s="20">
        <f t="shared" si="90"/>
        <v>2.3795739580755906</v>
      </c>
      <c r="F371" s="20">
        <f t="shared" si="91"/>
        <v>9.1806818791305977E-2</v>
      </c>
      <c r="G371" s="20">
        <f t="shared" si="92"/>
        <v>1.9988421247834962</v>
      </c>
      <c r="I371" s="20">
        <f t="shared" si="103"/>
        <v>0.37583418209094893</v>
      </c>
      <c r="K371" s="20">
        <f t="shared" si="97"/>
        <v>20.982466487885219</v>
      </c>
      <c r="L371" s="20">
        <f t="shared" si="104"/>
        <v>-0.13536288043398337</v>
      </c>
      <c r="M371" s="20">
        <f t="shared" si="93"/>
        <v>-2.9471561165683293</v>
      </c>
      <c r="N371" s="1">
        <f t="shared" si="98"/>
        <v>130.64063133414504</v>
      </c>
      <c r="P371" s="20">
        <f t="shared" si="99"/>
        <v>8.2794782589108156</v>
      </c>
      <c r="Q371" s="20">
        <f t="shared" si="94"/>
        <v>-0.40529058511497151</v>
      </c>
      <c r="R371" s="20">
        <f t="shared" si="95"/>
        <v>-8.8240928612012084</v>
      </c>
      <c r="S371" s="20">
        <f t="shared" si="100"/>
        <v>91.528746702281666</v>
      </c>
      <c r="T371" s="1">
        <f t="shared" si="101"/>
        <v>0</v>
      </c>
    </row>
    <row r="372" spans="1:20" x14ac:dyDescent="0.25">
      <c r="A372" s="20">
        <f t="shared" si="96"/>
        <v>3.6699999999999657</v>
      </c>
      <c r="C372" s="20">
        <f t="shared" si="102"/>
        <v>22.497207946774537</v>
      </c>
      <c r="D372" s="20">
        <f t="shared" si="89"/>
        <v>0.10871616790494094</v>
      </c>
      <c r="E372" s="20">
        <f t="shared" si="90"/>
        <v>2.3669969062691258</v>
      </c>
      <c r="F372" s="20">
        <f t="shared" si="91"/>
        <v>9.1321581040150396E-2</v>
      </c>
      <c r="G372" s="20">
        <f t="shared" si="92"/>
        <v>1.9882774012660658</v>
      </c>
      <c r="I372" s="20">
        <f t="shared" si="103"/>
        <v>0.37266647831278976</v>
      </c>
      <c r="K372" s="20">
        <f t="shared" si="97"/>
        <v>20.952994926719537</v>
      </c>
      <c r="L372" s="20">
        <f t="shared" si="104"/>
        <v>-0.13450407114525703</v>
      </c>
      <c r="M372" s="20">
        <f t="shared" si="93"/>
        <v>-2.9284578956075995</v>
      </c>
      <c r="N372" s="1">
        <f t="shared" si="98"/>
        <v>130.85030864121808</v>
      </c>
      <c r="P372" s="20">
        <f t="shared" si="99"/>
        <v>8.1912373302988026</v>
      </c>
      <c r="Q372" s="20">
        <f t="shared" si="94"/>
        <v>-0.40510362688747698</v>
      </c>
      <c r="R372" s="20">
        <f t="shared" si="95"/>
        <v>-8.8200223576633352</v>
      </c>
      <c r="S372" s="20">
        <f t="shared" si="100"/>
        <v>91.611100280227717</v>
      </c>
      <c r="T372" s="1">
        <f t="shared" si="101"/>
        <v>0</v>
      </c>
    </row>
    <row r="373" spans="1:20" x14ac:dyDescent="0.25">
      <c r="A373" s="20">
        <f t="shared" si="96"/>
        <v>3.6799999999999655</v>
      </c>
      <c r="C373" s="20">
        <f t="shared" si="102"/>
        <v>22.437933618540278</v>
      </c>
      <c r="D373" s="20">
        <f t="shared" si="89"/>
        <v>0.10814404459112846</v>
      </c>
      <c r="E373" s="20">
        <f t="shared" si="90"/>
        <v>2.3545404875055187</v>
      </c>
      <c r="F373" s="20">
        <f t="shared" si="91"/>
        <v>9.0840997456547903E-2</v>
      </c>
      <c r="G373" s="20">
        <f t="shared" si="92"/>
        <v>1.9778140095046355</v>
      </c>
      <c r="I373" s="20">
        <f t="shared" si="103"/>
        <v>0.36948063492027539</v>
      </c>
      <c r="K373" s="20">
        <f t="shared" si="97"/>
        <v>20.923710347763461</v>
      </c>
      <c r="L373" s="20">
        <f t="shared" si="104"/>
        <v>-0.13365146225339192</v>
      </c>
      <c r="M373" s="20">
        <f t="shared" si="93"/>
        <v>-2.9098946713126916</v>
      </c>
      <c r="N373" s="1">
        <f t="shared" si="98"/>
        <v>131.0596921675905</v>
      </c>
      <c r="P373" s="20">
        <f t="shared" si="99"/>
        <v>8.1030371067221694</v>
      </c>
      <c r="Q373" s="20">
        <f t="shared" si="94"/>
        <v>-0.40491688931148134</v>
      </c>
      <c r="R373" s="20">
        <f t="shared" si="95"/>
        <v>-8.8159566582077371</v>
      </c>
      <c r="S373" s="20">
        <f t="shared" si="100"/>
        <v>91.692571652412823</v>
      </c>
      <c r="T373" s="1">
        <f t="shared" si="101"/>
        <v>0</v>
      </c>
    </row>
    <row r="374" spans="1:20" x14ac:dyDescent="0.25">
      <c r="A374" s="20">
        <f t="shared" si="96"/>
        <v>3.6899999999999653</v>
      </c>
      <c r="C374" s="20">
        <f t="shared" si="102"/>
        <v>22.37907611105393</v>
      </c>
      <c r="D374" s="20">
        <f t="shared" si="89"/>
        <v>0.10757743798555951</v>
      </c>
      <c r="E374" s="20">
        <f t="shared" si="90"/>
        <v>2.3422041799599285</v>
      </c>
      <c r="F374" s="20">
        <f t="shared" si="91"/>
        <v>9.0365047907869991E-2</v>
      </c>
      <c r="G374" s="20">
        <f t="shared" si="92"/>
        <v>1.96745151116634</v>
      </c>
      <c r="I374" s="20">
        <f t="shared" si="103"/>
        <v>0.3662766730277523</v>
      </c>
      <c r="K374" s="20">
        <f t="shared" si="97"/>
        <v>20.894611401050334</v>
      </c>
      <c r="L374" s="20">
        <f t="shared" si="104"/>
        <v>-0.13280501573750447</v>
      </c>
      <c r="M374" s="20">
        <f t="shared" si="93"/>
        <v>-2.8914656158829626</v>
      </c>
      <c r="N374" s="1">
        <f t="shared" si="98"/>
        <v>131.26878377633457</v>
      </c>
      <c r="P374" s="20">
        <f t="shared" si="99"/>
        <v>8.0148775401400911</v>
      </c>
      <c r="Q374" s="20">
        <f t="shared" si="94"/>
        <v>-0.40473036333697926</v>
      </c>
      <c r="R374" s="20">
        <f t="shared" si="95"/>
        <v>-8.8118955657953251</v>
      </c>
      <c r="S374" s="20">
        <f t="shared" si="100"/>
        <v>91.773161225647144</v>
      </c>
      <c r="T374" s="1">
        <f t="shared" si="101"/>
        <v>0</v>
      </c>
    </row>
    <row r="375" spans="1:20" x14ac:dyDescent="0.25">
      <c r="A375" s="20">
        <f t="shared" si="96"/>
        <v>3.6999999999999651</v>
      </c>
      <c r="C375" s="20">
        <f t="shared" si="102"/>
        <v>22.32063624331612</v>
      </c>
      <c r="D375" s="20">
        <f t="shared" si="89"/>
        <v>0.10701632432327374</v>
      </c>
      <c r="E375" s="20">
        <f t="shared" si="90"/>
        <v>2.329987466215409</v>
      </c>
      <c r="F375" s="20">
        <f t="shared" si="91"/>
        <v>8.9893712431549949E-2</v>
      </c>
      <c r="G375" s="20">
        <f t="shared" si="92"/>
        <v>1.9571894716209439</v>
      </c>
      <c r="I375" s="20">
        <f t="shared" si="103"/>
        <v>0.36305461564837332</v>
      </c>
      <c r="K375" s="20">
        <f t="shared" si="97"/>
        <v>20.865696744891505</v>
      </c>
      <c r="L375" s="20">
        <f t="shared" si="104"/>
        <v>-0.13196469377848402</v>
      </c>
      <c r="M375" s="20">
        <f t="shared" si="93"/>
        <v>-2.8731699059108213</v>
      </c>
      <c r="N375" s="1">
        <f t="shared" si="98"/>
        <v>131.47758531706427</v>
      </c>
      <c r="P375" s="20">
        <f t="shared" si="99"/>
        <v>7.9267585844821378</v>
      </c>
      <c r="Q375" s="20">
        <f t="shared" si="94"/>
        <v>-0.40454403971546737</v>
      </c>
      <c r="R375" s="20">
        <f t="shared" si="95"/>
        <v>-8.80783887906526</v>
      </c>
      <c r="S375" s="20">
        <f t="shared" si="100"/>
        <v>91.852869406270258</v>
      </c>
      <c r="T375" s="1">
        <f t="shared" si="101"/>
        <v>0</v>
      </c>
    </row>
    <row r="376" spans="1:20" x14ac:dyDescent="0.25">
      <c r="A376" s="20">
        <f t="shared" si="96"/>
        <v>3.7099999999999649</v>
      </c>
      <c r="C376" s="20">
        <f t="shared" si="102"/>
        <v>22.262614840390313</v>
      </c>
      <c r="D376" s="20">
        <f t="shared" si="89"/>
        <v>0.10646068003955328</v>
      </c>
      <c r="E376" s="20">
        <f t="shared" si="90"/>
        <v>2.3178898332147462</v>
      </c>
      <c r="F376" s="20">
        <f t="shared" si="91"/>
        <v>8.9426971233224753E-2</v>
      </c>
      <c r="G376" s="20">
        <f t="shared" si="92"/>
        <v>1.9470274599003865</v>
      </c>
      <c r="I376" s="20">
        <f t="shared" si="103"/>
        <v>0.35981448772397306</v>
      </c>
      <c r="K376" s="20">
        <f t="shared" si="97"/>
        <v>20.836965045832397</v>
      </c>
      <c r="L376" s="20">
        <f t="shared" si="104"/>
        <v>-0.13113045875500076</v>
      </c>
      <c r="M376" s="20">
        <f t="shared" si="93"/>
        <v>-2.8550067222948132</v>
      </c>
      <c r="N376" s="1">
        <f t="shared" si="98"/>
        <v>131.68609862601789</v>
      </c>
      <c r="P376" s="20">
        <f t="shared" si="99"/>
        <v>7.8386801956914853</v>
      </c>
      <c r="Q376" s="20">
        <f t="shared" si="94"/>
        <v>-0.40435790900159785</v>
      </c>
      <c r="R376" s="20">
        <f t="shared" si="95"/>
        <v>-8.8037863923709523</v>
      </c>
      <c r="S376" s="20">
        <f t="shared" si="100"/>
        <v>91.931696600171122</v>
      </c>
      <c r="T376" s="1">
        <f t="shared" si="101"/>
        <v>0</v>
      </c>
    </row>
    <row r="377" spans="1:20" x14ac:dyDescent="0.25">
      <c r="A377" s="20">
        <f t="shared" si="96"/>
        <v>3.7199999999999647</v>
      </c>
      <c r="C377" s="20">
        <f t="shared" si="102"/>
        <v>22.205012733097199</v>
      </c>
      <c r="D377" s="20">
        <f t="shared" si="89"/>
        <v>0.10591048176772803</v>
      </c>
      <c r="E377" s="20">
        <f t="shared" si="90"/>
        <v>2.3059107722126724</v>
      </c>
      <c r="F377" s="20">
        <f t="shared" si="91"/>
        <v>8.8964804684891555E-2</v>
      </c>
      <c r="G377" s="20">
        <f t="shared" si="92"/>
        <v>1.9369650486586449</v>
      </c>
      <c r="I377" s="20">
        <f t="shared" si="103"/>
        <v>0.35655631615482691</v>
      </c>
      <c r="K377" s="20">
        <f t="shared" si="97"/>
        <v>20.808414978609449</v>
      </c>
      <c r="L377" s="20">
        <f t="shared" si="104"/>
        <v>-0.13030227323954052</v>
      </c>
      <c r="M377" s="20">
        <f t="shared" si="93"/>
        <v>-2.8369752501532881</v>
      </c>
      <c r="N377" s="1">
        <f t="shared" si="98"/>
        <v>131.89432552614011</v>
      </c>
      <c r="P377" s="20">
        <f t="shared" si="99"/>
        <v>7.7506423317677759</v>
      </c>
      <c r="Q377" s="20">
        <f t="shared" si="94"/>
        <v>-0.40417196155485086</v>
      </c>
      <c r="R377" s="20">
        <f t="shared" si="95"/>
        <v>-8.7997378958164791</v>
      </c>
      <c r="S377" s="20">
        <f t="shared" si="100"/>
        <v>92.009643212808413</v>
      </c>
      <c r="T377" s="1">
        <f t="shared" si="101"/>
        <v>0</v>
      </c>
    </row>
    <row r="378" spans="1:20" x14ac:dyDescent="0.25">
      <c r="A378" s="20">
        <f t="shared" si="96"/>
        <v>3.7299999999999645</v>
      </c>
      <c r="C378" s="20">
        <f t="shared" si="102"/>
        <v>22.14783075770422</v>
      </c>
      <c r="D378" s="20">
        <f t="shared" si="89"/>
        <v>0.10536570633699933</v>
      </c>
      <c r="E378" s="20">
        <f t="shared" si="90"/>
        <v>2.2940497787284855</v>
      </c>
      <c r="F378" s="20">
        <f t="shared" si="91"/>
        <v>8.8507193323079436E-2</v>
      </c>
      <c r="G378" s="20">
        <f t="shared" si="92"/>
        <v>1.9270018141319276</v>
      </c>
      <c r="I378" s="20">
        <f t="shared" si="103"/>
        <v>0.35328012982927309</v>
      </c>
      <c r="K378" s="20">
        <f t="shared" si="97"/>
        <v>20.780045226107916</v>
      </c>
      <c r="L378" s="20">
        <f t="shared" si="104"/>
        <v>-0.12948009999446777</v>
      </c>
      <c r="M378" s="20">
        <f t="shared" si="93"/>
        <v>-2.8190746787386844</v>
      </c>
      <c r="N378" s="1">
        <f t="shared" si="98"/>
        <v>132.1022678271637</v>
      </c>
      <c r="P378" s="20">
        <f t="shared" si="99"/>
        <v>7.662644952809611</v>
      </c>
      <c r="Q378" s="20">
        <f t="shared" si="94"/>
        <v>-0.40398618754122695</v>
      </c>
      <c r="R378" s="20">
        <f t="shared" si="95"/>
        <v>-8.7956931752934242</v>
      </c>
      <c r="S378" s="20">
        <f t="shared" si="100"/>
        <v>92.086709649231295</v>
      </c>
      <c r="T378" s="1">
        <f t="shared" si="101"/>
        <v>0</v>
      </c>
    </row>
    <row r="379" spans="1:20" x14ac:dyDescent="0.25">
      <c r="A379" s="20">
        <f t="shared" si="96"/>
        <v>3.7399999999999642</v>
      </c>
      <c r="C379" s="20">
        <f t="shared" si="102"/>
        <v>22.091069755610182</v>
      </c>
      <c r="D379" s="20">
        <f t="shared" si="89"/>
        <v>0.10482633077028056</v>
      </c>
      <c r="E379" s="20">
        <f t="shared" si="90"/>
        <v>2.2823063524990324</v>
      </c>
      <c r="F379" s="20">
        <f t="shared" si="91"/>
        <v>8.8054117847035679E-2</v>
      </c>
      <c r="G379" s="20">
        <f t="shared" si="92"/>
        <v>1.9171373360991875</v>
      </c>
      <c r="I379" s="20">
        <f t="shared" si="103"/>
        <v>0.34998595965317736</v>
      </c>
      <c r="K379" s="20">
        <f t="shared" si="97"/>
        <v>20.751854479320528</v>
      </c>
      <c r="L379" s="20">
        <f t="shared" si="104"/>
        <v>-0.12866390196811578</v>
      </c>
      <c r="M379" s="20">
        <f t="shared" si="93"/>
        <v>-2.801304201352401</v>
      </c>
      <c r="N379" s="1">
        <f t="shared" si="98"/>
        <v>132.30992732569084</v>
      </c>
      <c r="P379" s="20">
        <f t="shared" si="99"/>
        <v>7.5746880210566765</v>
      </c>
      <c r="Q379" s="20">
        <f t="shared" si="94"/>
        <v>-0.40380057693495908</v>
      </c>
      <c r="R379" s="20">
        <f t="shared" si="95"/>
        <v>-8.7916520125181599</v>
      </c>
      <c r="S379" s="20">
        <f t="shared" si="100"/>
        <v>92.162896314100621</v>
      </c>
      <c r="T379" s="1">
        <f t="shared" si="101"/>
        <v>0</v>
      </c>
    </row>
    <row r="380" spans="1:20" x14ac:dyDescent="0.25">
      <c r="A380" s="20">
        <f t="shared" si="96"/>
        <v>3.749999999999964</v>
      </c>
      <c r="C380" s="20">
        <f t="shared" si="102"/>
        <v>22.034730573025005</v>
      </c>
      <c r="D380" s="20">
        <f t="shared" si="89"/>
        <v>0.10429233228205563</v>
      </c>
      <c r="E380" s="20">
        <f t="shared" si="90"/>
        <v>2.2706799974320844</v>
      </c>
      <c r="F380" s="20">
        <f t="shared" si="91"/>
        <v>8.7605559116926732E-2</v>
      </c>
      <c r="G380" s="20">
        <f t="shared" si="92"/>
        <v>1.9073711978429508</v>
      </c>
      <c r="I380" s="20">
        <f t="shared" si="103"/>
        <v>0.34667383857922091</v>
      </c>
      <c r="K380" s="20">
        <f t="shared" si="97"/>
        <v>20.723841437307005</v>
      </c>
      <c r="L380" s="20">
        <f t="shared" si="104"/>
        <v>-0.12785364229090612</v>
      </c>
      <c r="M380" s="20">
        <f t="shared" si="93"/>
        <v>-2.7836630152603119</v>
      </c>
      <c r="N380" s="1">
        <f t="shared" si="98"/>
        <v>132.51730580527396</v>
      </c>
      <c r="P380" s="20">
        <f t="shared" si="99"/>
        <v>7.4867715009314946</v>
      </c>
      <c r="Q380" s="20">
        <f t="shared" si="94"/>
        <v>-0.40361511952024687</v>
      </c>
      <c r="R380" s="20">
        <f t="shared" si="95"/>
        <v>-8.7876141850696037</v>
      </c>
      <c r="S380" s="20">
        <f t="shared" si="100"/>
        <v>92.238203611710574</v>
      </c>
      <c r="T380" s="1">
        <f t="shared" si="101"/>
        <v>0</v>
      </c>
    </row>
    <row r="381" spans="1:20" x14ac:dyDescent="0.25">
      <c r="A381" s="20">
        <f t="shared" si="96"/>
        <v>3.7599999999999638</v>
      </c>
      <c r="C381" s="20">
        <f t="shared" si="102"/>
        <v>21.978814060644524</v>
      </c>
      <c r="D381" s="20">
        <f t="shared" si="89"/>
        <v>0.10376368827625369</v>
      </c>
      <c r="E381" s="20">
        <f t="shared" si="90"/>
        <v>2.2591702215600629</v>
      </c>
      <c r="F381" s="20">
        <f t="shared" si="91"/>
        <v>8.716149815205311E-2</v>
      </c>
      <c r="G381" s="20">
        <f t="shared" si="92"/>
        <v>1.8977029861104531</v>
      </c>
      <c r="I381" s="20">
        <f t="shared" si="103"/>
        <v>0.34334380163598871</v>
      </c>
      <c r="K381" s="20">
        <f t="shared" si="97"/>
        <v>20.696004807154402</v>
      </c>
      <c r="L381" s="20">
        <f t="shared" si="104"/>
        <v>-0.1270492842714957</v>
      </c>
      <c r="M381" s="20">
        <f t="shared" si="93"/>
        <v>-2.7661503216088765</v>
      </c>
      <c r="N381" s="1">
        <f t="shared" si="98"/>
        <v>132.72440503649628</v>
      </c>
      <c r="P381" s="20">
        <f t="shared" si="99"/>
        <v>7.3988953590807984</v>
      </c>
      <c r="Q381" s="20">
        <f t="shared" si="94"/>
        <v>-0.40342980489301217</v>
      </c>
      <c r="R381" s="20">
        <f t="shared" si="95"/>
        <v>-8.7835794664274367</v>
      </c>
      <c r="S381" s="20">
        <f t="shared" si="100"/>
        <v>92.31263194601064</v>
      </c>
      <c r="T381" s="1">
        <f t="shared" si="101"/>
        <v>0</v>
      </c>
    </row>
    <row r="382" spans="1:20" x14ac:dyDescent="0.25">
      <c r="A382" s="20">
        <f t="shared" si="96"/>
        <v>3.7699999999999636</v>
      </c>
      <c r="C382" s="20">
        <f t="shared" si="102"/>
        <v>21.923321073320487</v>
      </c>
      <c r="D382" s="20">
        <f t="shared" si="89"/>
        <v>0.10324037634414136</v>
      </c>
      <c r="E382" s="20">
        <f t="shared" si="90"/>
        <v>2.2477765369941514</v>
      </c>
      <c r="F382" s="20">
        <f t="shared" si="91"/>
        <v>8.6721916129078744E-2</v>
      </c>
      <c r="G382" s="20">
        <f t="shared" si="92"/>
        <v>1.8881322910750871</v>
      </c>
      <c r="I382" s="20">
        <f t="shared" si="103"/>
        <v>0.33999588595683827</v>
      </c>
      <c r="K382" s="20">
        <f t="shared" si="97"/>
        <v>20.668343303938315</v>
      </c>
      <c r="L382" s="20">
        <f t="shared" si="104"/>
        <v>-0.12625079139295389</v>
      </c>
      <c r="M382" s="20">
        <f t="shared" si="93"/>
        <v>-2.7487653253419095</v>
      </c>
      <c r="N382" s="1">
        <f t="shared" si="98"/>
        <v>132.93122677705176</v>
      </c>
      <c r="P382" s="20">
        <f t="shared" si="99"/>
        <v>7.3110595644165244</v>
      </c>
      <c r="Q382" s="20">
        <f t="shared" si="94"/>
        <v>-0.40324462246267856</v>
      </c>
      <c r="R382" s="20">
        <f t="shared" si="95"/>
        <v>-8.7795476260108547</v>
      </c>
      <c r="S382" s="20">
        <f t="shared" si="100"/>
        <v>92.38618172062813</v>
      </c>
      <c r="T382" s="1">
        <f t="shared" si="101"/>
        <v>0</v>
      </c>
    </row>
    <row r="383" spans="1:20" x14ac:dyDescent="0.25">
      <c r="A383" s="20">
        <f t="shared" si="96"/>
        <v>3.7799999999999634</v>
      </c>
      <c r="C383" s="20">
        <f t="shared" si="102"/>
        <v>21.868252469725622</v>
      </c>
      <c r="D383" s="20">
        <f t="shared" si="89"/>
        <v>0.10272237426223078</v>
      </c>
      <c r="E383" s="20">
        <f t="shared" si="90"/>
        <v>2.2364984598787458</v>
      </c>
      <c r="F383" s="20">
        <f t="shared" si="91"/>
        <v>8.6286794380273854E-2</v>
      </c>
      <c r="G383" s="20">
        <f t="shared" si="92"/>
        <v>1.8786587062981461</v>
      </c>
      <c r="I383" s="20">
        <f t="shared" si="103"/>
        <v>0.33663013080852605</v>
      </c>
      <c r="K383" s="20">
        <f t="shared" si="97"/>
        <v>20.640855650684895</v>
      </c>
      <c r="L383" s="20">
        <f t="shared" si="104"/>
        <v>-0.1254581273089686</v>
      </c>
      <c r="M383" s="20">
        <f t="shared" si="93"/>
        <v>-2.7315072351179754</v>
      </c>
      <c r="N383" s="1">
        <f t="shared" si="98"/>
        <v>133.13777277182487</v>
      </c>
      <c r="P383" s="20">
        <f t="shared" si="99"/>
        <v>7.2232640881564159</v>
      </c>
      <c r="Q383" s="20">
        <f t="shared" si="94"/>
        <v>-0.40305956145397415</v>
      </c>
      <c r="R383" s="20">
        <f t="shared" si="95"/>
        <v>-8.7755184292178132</v>
      </c>
      <c r="S383" s="20">
        <f t="shared" si="100"/>
        <v>92.458853338890989</v>
      </c>
      <c r="T383" s="1">
        <f t="shared" si="101"/>
        <v>0</v>
      </c>
    </row>
    <row r="384" spans="1:20" x14ac:dyDescent="0.25">
      <c r="A384" s="20">
        <f t="shared" si="96"/>
        <v>3.7899999999999632</v>
      </c>
      <c r="C384" s="20">
        <f t="shared" si="102"/>
        <v>21.813609112013914</v>
      </c>
      <c r="D384" s="20">
        <f t="shared" si="89"/>
        <v>0.1022096599902045</v>
      </c>
      <c r="E384" s="20">
        <f t="shared" si="90"/>
        <v>2.2253355103462771</v>
      </c>
      <c r="F384" s="20">
        <f t="shared" si="91"/>
        <v>8.5856114391771779E-2</v>
      </c>
      <c r="G384" s="20">
        <f t="shared" si="92"/>
        <v>1.8692818286908726</v>
      </c>
      <c r="I384" s="20">
        <f t="shared" si="103"/>
        <v>0.33324657761956922</v>
      </c>
      <c r="K384" s="20">
        <f t="shared" si="97"/>
        <v>20.613540578333716</v>
      </c>
      <c r="L384" s="20">
        <f t="shared" si="104"/>
        <v>-0.12467125584008272</v>
      </c>
      <c r="M384" s="20">
        <f t="shared" si="93"/>
        <v>-2.7143752632284501</v>
      </c>
      <c r="N384" s="1">
        <f t="shared" si="98"/>
        <v>133.34404475296998</v>
      </c>
      <c r="P384" s="20">
        <f t="shared" si="99"/>
        <v>7.1355089038642374</v>
      </c>
      <c r="Q384" s="20">
        <f t="shared" si="94"/>
        <v>-0.40287461090875926</v>
      </c>
      <c r="R384" s="20">
        <f t="shared" si="95"/>
        <v>-8.7714916374648215</v>
      </c>
      <c r="S384" s="20">
        <f t="shared" si="100"/>
        <v>92.530647203851089</v>
      </c>
      <c r="T384" s="1">
        <f t="shared" si="101"/>
        <v>0</v>
      </c>
    </row>
    <row r="385" spans="1:20" x14ac:dyDescent="0.25">
      <c r="A385" s="20">
        <f t="shared" si="96"/>
        <v>3.799999999999963</v>
      </c>
      <c r="C385" s="20">
        <f t="shared" si="102"/>
        <v>21.759391865476029</v>
      </c>
      <c r="D385" s="20">
        <f t="shared" si="89"/>
        <v>0.10170221166885603</v>
      </c>
      <c r="E385" s="20">
        <f t="shared" si="90"/>
        <v>2.2142872124723718</v>
      </c>
      <c r="F385" s="20">
        <f t="shared" si="91"/>
        <v>8.5429857801839065E-2</v>
      </c>
      <c r="G385" s="20">
        <f t="shared" si="92"/>
        <v>1.8600012584767922</v>
      </c>
      <c r="I385" s="20">
        <f t="shared" si="103"/>
        <v>0.32984527000832009</v>
      </c>
      <c r="K385" s="20">
        <f t="shared" si="97"/>
        <v>20.586396825701431</v>
      </c>
      <c r="L385" s="20">
        <f t="shared" si="104"/>
        <v>-0.12389014096996086</v>
      </c>
      <c r="M385" s="20">
        <f t="shared" si="93"/>
        <v>-2.6973686255162392</v>
      </c>
      <c r="N385" s="1">
        <f t="shared" si="98"/>
        <v>133.55004443999013</v>
      </c>
      <c r="P385" s="20">
        <f t="shared" si="99"/>
        <v>7.0477939874895892</v>
      </c>
      <c r="Q385" s="20">
        <f t="shared" si="94"/>
        <v>-0.40268975968787957</v>
      </c>
      <c r="R385" s="20">
        <f t="shared" si="95"/>
        <v>-8.7674670082272925</v>
      </c>
      <c r="S385" s="20">
        <f t="shared" si="100"/>
        <v>92.601563718307858</v>
      </c>
      <c r="T385" s="1">
        <f t="shared" si="101"/>
        <v>0</v>
      </c>
    </row>
    <row r="386" spans="1:20" x14ac:dyDescent="0.25">
      <c r="A386" s="20">
        <f t="shared" si="96"/>
        <v>3.8099999999999627</v>
      </c>
      <c r="C386" s="20">
        <f t="shared" si="102"/>
        <v>21.705601598189929</v>
      </c>
      <c r="D386" s="20">
        <f t="shared" si="89"/>
        <v>0.10120000761804618</v>
      </c>
      <c r="E386" s="20">
        <f t="shared" si="90"/>
        <v>2.2033530942313559</v>
      </c>
      <c r="F386" s="20">
        <f t="shared" si="91"/>
        <v>8.50080063991588E-2</v>
      </c>
      <c r="G386" s="20">
        <f t="shared" si="92"/>
        <v>1.8508165991543393</v>
      </c>
      <c r="I386" s="20">
        <f t="shared" si="103"/>
        <v>0.32642625381072998</v>
      </c>
      <c r="K386" s="20">
        <f t="shared" si="97"/>
        <v>20.55942313944627</v>
      </c>
      <c r="L386" s="20">
        <f t="shared" si="104"/>
        <v>-0.12311474684168688</v>
      </c>
      <c r="M386" s="20">
        <f t="shared" si="93"/>
        <v>-2.6804865412951639</v>
      </c>
      <c r="N386" s="1">
        <f t="shared" si="98"/>
        <v>133.75577353981586</v>
      </c>
      <c r="P386" s="20">
        <f t="shared" si="99"/>
        <v>6.9601193174073162</v>
      </c>
      <c r="Q386" s="20">
        <f t="shared" si="94"/>
        <v>-0.402504996473046</v>
      </c>
      <c r="R386" s="20">
        <f t="shared" si="95"/>
        <v>-8.7634442950804701</v>
      </c>
      <c r="S386" s="20">
        <f t="shared" si="100"/>
        <v>92.671603284832344</v>
      </c>
      <c r="T386" s="1">
        <f t="shared" si="101"/>
        <v>0</v>
      </c>
    </row>
    <row r="387" spans="1:20" x14ac:dyDescent="0.25">
      <c r="A387" s="20">
        <f t="shared" si="96"/>
        <v>3.8199999999999625</v>
      </c>
      <c r="C387" s="20">
        <f t="shared" si="102"/>
        <v>21.652239180666754</v>
      </c>
      <c r="D387" s="20">
        <f t="shared" si="89"/>
        <v>0.10070302633467522</v>
      </c>
      <c r="E387" s="20">
        <f t="shared" si="90"/>
        <v>2.1925326874521058</v>
      </c>
      <c r="F387" s="20">
        <f t="shared" si="91"/>
        <v>8.4590542121127182E-2</v>
      </c>
      <c r="G387" s="20">
        <f t="shared" si="92"/>
        <v>1.8417274574597688</v>
      </c>
      <c r="I387" s="20">
        <f t="shared" si="103"/>
        <v>0.3229895771077787</v>
      </c>
      <c r="K387" s="20">
        <f t="shared" si="97"/>
        <v>20.532618274033318</v>
      </c>
      <c r="L387" s="20">
        <f t="shared" si="104"/>
        <v>-0.12234503775409339</v>
      </c>
      <c r="M387" s="20">
        <f t="shared" si="93"/>
        <v>-2.6637282332700498</v>
      </c>
      <c r="N387" s="1">
        <f t="shared" si="98"/>
        <v>133.96123374688327</v>
      </c>
      <c r="P387" s="20">
        <f t="shared" si="99"/>
        <v>6.8724848744565117</v>
      </c>
      <c r="Q387" s="20">
        <f t="shared" si="94"/>
        <v>-0.40232030976874134</v>
      </c>
      <c r="R387" s="20">
        <f t="shared" si="95"/>
        <v>-8.7594232477409388</v>
      </c>
      <c r="S387" s="20">
        <f t="shared" si="100"/>
        <v>92.740766305791666</v>
      </c>
      <c r="T387" s="1">
        <f t="shared" si="101"/>
        <v>0</v>
      </c>
    </row>
    <row r="388" spans="1:20" x14ac:dyDescent="0.25">
      <c r="A388" s="20">
        <f t="shared" si="96"/>
        <v>3.8299999999999623</v>
      </c>
      <c r="C388" s="20">
        <f t="shared" si="102"/>
        <v>21.59930548549195</v>
      </c>
      <c r="D388" s="20">
        <f t="shared" si="89"/>
        <v>0.10021124649067002</v>
      </c>
      <c r="E388" s="20">
        <f t="shared" si="90"/>
        <v>2.181825527774222</v>
      </c>
      <c r="F388" s="20">
        <f t="shared" si="91"/>
        <v>8.4177447052162818E-2</v>
      </c>
      <c r="G388" s="20">
        <f t="shared" si="92"/>
        <v>1.8327334433303466</v>
      </c>
      <c r="I388" s="20">
        <f t="shared" si="103"/>
        <v>0.31953529025254584</v>
      </c>
      <c r="K388" s="20">
        <f t="shared" si="97"/>
        <v>20.505980991700618</v>
      </c>
      <c r="L388" s="20">
        <f t="shared" si="104"/>
        <v>-0.12158097815812265</v>
      </c>
      <c r="M388" s="20">
        <f t="shared" si="93"/>
        <v>-2.6470929274574928</v>
      </c>
      <c r="N388" s="1">
        <f t="shared" si="98"/>
        <v>134.16642674321193</v>
      </c>
      <c r="P388" s="20">
        <f t="shared" si="99"/>
        <v>6.7848906419791026</v>
      </c>
      <c r="Q388" s="20">
        <f t="shared" si="94"/>
        <v>-0.40213568790415449</v>
      </c>
      <c r="R388" s="20">
        <f t="shared" si="95"/>
        <v>-8.7554036121087417</v>
      </c>
      <c r="S388" s="20">
        <f t="shared" si="100"/>
        <v>92.809053183373848</v>
      </c>
      <c r="T388" s="1">
        <f t="shared" si="101"/>
        <v>0</v>
      </c>
    </row>
    <row r="389" spans="1:20" x14ac:dyDescent="0.25">
      <c r="A389" s="20">
        <f t="shared" si="96"/>
        <v>3.8399999999999621</v>
      </c>
      <c r="C389" s="20">
        <f t="shared" si="102"/>
        <v>21.546801386961715</v>
      </c>
      <c r="D389" s="20">
        <f t="shared" ref="D389:D452" si="105">0.5*$W$5*$W$10*$W$9*C389^2</f>
        <v>9.9724646930986732E-2</v>
      </c>
      <c r="E389" s="20">
        <f t="shared" ref="E389:E452" si="106">D389/$W$4</f>
        <v>2.1712311546045449</v>
      </c>
      <c r="F389" s="20">
        <f t="shared" ref="F389:F452" si="107">0.5*$W$6*$W$10*$W$9*C389^2</f>
        <v>8.3768703422028856E-2</v>
      </c>
      <c r="G389" s="20">
        <f t="shared" ref="G389:G452" si="108">F389/$W$4</f>
        <v>1.8238341698678175</v>
      </c>
      <c r="I389" s="20">
        <f t="shared" si="103"/>
        <v>0.31606344589689894</v>
      </c>
      <c r="K389" s="20">
        <f t="shared" si="97"/>
        <v>20.479510062426044</v>
      </c>
      <c r="L389" s="20">
        <f t="shared" si="104"/>
        <v>-0.12082253265322078</v>
      </c>
      <c r="M389" s="20">
        <f t="shared" ref="M389:M452" si="109">L389/$W$4</f>
        <v>-2.6305798531073541</v>
      </c>
      <c r="N389" s="1">
        <f t="shared" si="98"/>
        <v>134.37135419848255</v>
      </c>
      <c r="P389" s="20">
        <f t="shared" si="99"/>
        <v>6.6973366058580153</v>
      </c>
      <c r="Q389" s="20">
        <f t="shared" ref="Q389:Q452" si="110">-(D389*SIN(I389))+(F389*COS(I389))-($W$4*9.81)</f>
        <v>-0.40195111903514419</v>
      </c>
      <c r="R389" s="20">
        <f t="shared" ref="R389:R452" si="111">Q389/$W$4</f>
        <v>-8.751385130310128</v>
      </c>
      <c r="S389" s="20">
        <f t="shared" si="100"/>
        <v>92.876464319613035</v>
      </c>
      <c r="T389" s="1">
        <f t="shared" si="101"/>
        <v>0</v>
      </c>
    </row>
    <row r="390" spans="1:20" x14ac:dyDescent="0.25">
      <c r="A390" s="20">
        <f t="shared" ref="A390:A453" si="112">A389+$W$18</f>
        <v>3.8499999999999619</v>
      </c>
      <c r="C390" s="20">
        <f t="shared" si="102"/>
        <v>21.494727760714795</v>
      </c>
      <c r="D390" s="20">
        <f t="shared" si="105"/>
        <v>9.9243206671627962E-2</v>
      </c>
      <c r="E390" s="20">
        <f t="shared" si="106"/>
        <v>2.1607491110739816</v>
      </c>
      <c r="F390" s="20">
        <f t="shared" si="107"/>
        <v>8.3364293604167486E-2</v>
      </c>
      <c r="G390" s="20">
        <f t="shared" si="108"/>
        <v>1.8150292533021444</v>
      </c>
      <c r="I390" s="20">
        <f t="shared" si="103"/>
        <v>0.31257409901777511</v>
      </c>
      <c r="K390" s="20">
        <f t="shared" ref="K390:K453" si="113">K389+(M389*$W$18)</f>
        <v>20.453204263894971</v>
      </c>
      <c r="L390" s="20">
        <f t="shared" si="104"/>
        <v>-0.12006966598376441</v>
      </c>
      <c r="M390" s="20">
        <f t="shared" si="109"/>
        <v>-2.6141882426249601</v>
      </c>
      <c r="N390" s="1">
        <f t="shared" ref="N390:N453" si="114">N389+(K389*$W$18)+(0.5*M389*$W$18^2)</f>
        <v>134.57601777011416</v>
      </c>
      <c r="P390" s="20">
        <f t="shared" ref="P390:P453" si="115">P389+(R389*$W$18)</f>
        <v>6.609822754554914</v>
      </c>
      <c r="Q390" s="20">
        <f t="shared" si="110"/>
        <v>-0.40176659114623126</v>
      </c>
      <c r="R390" s="20">
        <f t="shared" si="111"/>
        <v>-8.747367540740937</v>
      </c>
      <c r="S390" s="20">
        <f t="shared" ref="S390:S453" si="116">S389+(P389*$W$18)+(0.5*R389*$W$18^2)</f>
        <v>92.943000116415092</v>
      </c>
      <c r="T390" s="1">
        <f t="shared" si="101"/>
        <v>0</v>
      </c>
    </row>
    <row r="391" spans="1:20" x14ac:dyDescent="0.25">
      <c r="A391" s="20">
        <f t="shared" si="112"/>
        <v>3.8599999999999617</v>
      </c>
      <c r="C391" s="20">
        <f t="shared" si="102"/>
        <v>21.443085483359688</v>
      </c>
      <c r="D391" s="20">
        <f t="shared" si="105"/>
        <v>9.8766904897674909E-2</v>
      </c>
      <c r="E391" s="20">
        <f t="shared" si="106"/>
        <v>2.1503789439946637</v>
      </c>
      <c r="F391" s="20">
        <f t="shared" si="107"/>
        <v>8.2964200114046927E-2</v>
      </c>
      <c r="G391" s="20">
        <f t="shared" si="108"/>
        <v>1.8063183129555178</v>
      </c>
      <c r="I391" s="20">
        <f t="shared" si="103"/>
        <v>0.30906730694302909</v>
      </c>
      <c r="K391" s="20">
        <f t="shared" si="113"/>
        <v>20.427062381468723</v>
      </c>
      <c r="L391" s="20">
        <f t="shared" si="104"/>
        <v>-0.11932234303552157</v>
      </c>
      <c r="M391" s="20">
        <f t="shared" si="109"/>
        <v>-2.5979173314940467</v>
      </c>
      <c r="N391" s="1">
        <f t="shared" si="114"/>
        <v>134.78041910334099</v>
      </c>
      <c r="P391" s="20">
        <f t="shared" si="115"/>
        <v>6.5223490791475047</v>
      </c>
      <c r="Q391" s="20">
        <f t="shared" si="110"/>
        <v>-0.4015820920526213</v>
      </c>
      <c r="R391" s="20">
        <f t="shared" si="111"/>
        <v>-8.7433505781106309</v>
      </c>
      <c r="S391" s="20">
        <f t="shared" si="116"/>
        <v>93.008660975583609</v>
      </c>
      <c r="T391" s="1">
        <f t="shared" ref="T391:T454" si="117">IF(AND(S390&gt;0,S391&lt;0),(-1*S390*(N391-N390)/(S391-S390)+N390),0)</f>
        <v>0</v>
      </c>
    </row>
    <row r="392" spans="1:20" x14ac:dyDescent="0.25">
      <c r="A392" s="20">
        <f t="shared" si="112"/>
        <v>3.8699999999999615</v>
      </c>
      <c r="C392" s="20">
        <f t="shared" si="102"/>
        <v>21.39187543209729</v>
      </c>
      <c r="D392" s="20">
        <f t="shared" si="105"/>
        <v>9.8295720961333835E-2</v>
      </c>
      <c r="E392" s="20">
        <f t="shared" si="106"/>
        <v>2.1401202038174141</v>
      </c>
      <c r="F392" s="20">
        <f t="shared" si="107"/>
        <v>8.2568405607520434E-2</v>
      </c>
      <c r="G392" s="20">
        <f t="shared" si="108"/>
        <v>1.7977009712066283</v>
      </c>
      <c r="I392" s="20">
        <f t="shared" si="103"/>
        <v>0.30554312937682371</v>
      </c>
      <c r="K392" s="20">
        <f t="shared" si="113"/>
        <v>20.401083208153782</v>
      </c>
      <c r="L392" s="20">
        <f t="shared" si="104"/>
        <v>-0.11858052883214673</v>
      </c>
      <c r="M392" s="20">
        <f t="shared" si="109"/>
        <v>-2.5817663582004515</v>
      </c>
      <c r="N392" s="1">
        <f t="shared" si="114"/>
        <v>134.98455983128912</v>
      </c>
      <c r="P392" s="20">
        <f t="shared" si="115"/>
        <v>6.4349155733663981</v>
      </c>
      <c r="Q392" s="20">
        <f t="shared" si="110"/>
        <v>-0.40139760940225822</v>
      </c>
      <c r="R392" s="20">
        <f t="shared" si="111"/>
        <v>-8.7393339734870068</v>
      </c>
      <c r="S392" s="20">
        <f t="shared" si="116"/>
        <v>93.07344729884619</v>
      </c>
      <c r="T392" s="1">
        <f t="shared" si="117"/>
        <v>0</v>
      </c>
    </row>
    <row r="393" spans="1:20" x14ac:dyDescent="0.25">
      <c r="A393" s="20">
        <f t="shared" si="112"/>
        <v>3.8799999999999613</v>
      </c>
      <c r="C393" s="20">
        <f t="shared" si="102"/>
        <v>21.341098484339096</v>
      </c>
      <c r="D393" s="20">
        <f t="shared" si="105"/>
        <v>9.782963437999706E-2</v>
      </c>
      <c r="E393" s="20">
        <f t="shared" si="106"/>
        <v>2.1299724445895287</v>
      </c>
      <c r="F393" s="20">
        <f t="shared" si="107"/>
        <v>8.2176892879197536E-2</v>
      </c>
      <c r="G393" s="20">
        <f t="shared" si="108"/>
        <v>1.7891768534552044</v>
      </c>
      <c r="I393" s="20">
        <f t="shared" si="103"/>
        <v>0.30200162842453709</v>
      </c>
      <c r="K393" s="20">
        <f t="shared" si="113"/>
        <v>20.375265544571779</v>
      </c>
      <c r="L393" s="20">
        <f t="shared" si="104"/>
        <v>-0.11784418853171115</v>
      </c>
      <c r="M393" s="20">
        <f t="shared" si="109"/>
        <v>-2.5657345641565676</v>
      </c>
      <c r="N393" s="1">
        <f t="shared" si="114"/>
        <v>135.18844157505274</v>
      </c>
      <c r="P393" s="20">
        <f t="shared" si="115"/>
        <v>6.347522233631528</v>
      </c>
      <c r="Q393" s="20">
        <f t="shared" si="110"/>
        <v>-0.40121313067790865</v>
      </c>
      <c r="R393" s="20">
        <f t="shared" si="111"/>
        <v>-8.7353174543415779</v>
      </c>
      <c r="S393" s="20">
        <f t="shared" si="116"/>
        <v>93.137359487881184</v>
      </c>
      <c r="T393" s="1">
        <f t="shared" si="117"/>
        <v>0</v>
      </c>
    </row>
    <row r="394" spans="1:20" x14ac:dyDescent="0.25">
      <c r="A394" s="20">
        <f t="shared" si="112"/>
        <v>3.889999999999961</v>
      </c>
      <c r="C394" s="20">
        <f t="shared" si="102"/>
        <v>21.290755517320935</v>
      </c>
      <c r="D394" s="20">
        <f t="shared" si="105"/>
        <v>9.7368624834317713E-2</v>
      </c>
      <c r="E394" s="20">
        <f t="shared" si="106"/>
        <v>2.119935223912861</v>
      </c>
      <c r="F394" s="20">
        <f t="shared" si="107"/>
        <v>8.1789644860826877E-2</v>
      </c>
      <c r="G394" s="20">
        <f t="shared" si="108"/>
        <v>1.7807455880868033</v>
      </c>
      <c r="I394" s="20">
        <f t="shared" si="103"/>
        <v>0.29844286861715941</v>
      </c>
      <c r="K394" s="20">
        <f t="shared" si="113"/>
        <v>20.349608198930213</v>
      </c>
      <c r="L394" s="20">
        <f t="shared" si="104"/>
        <v>-0.11711328742326844</v>
      </c>
      <c r="M394" s="20">
        <f t="shared" si="109"/>
        <v>-2.5498211936265718</v>
      </c>
      <c r="N394" s="1">
        <f t="shared" si="114"/>
        <v>135.39206594377026</v>
      </c>
      <c r="P394" s="20">
        <f t="shared" si="115"/>
        <v>6.2601690590881125</v>
      </c>
      <c r="Q394" s="20">
        <f t="shared" si="110"/>
        <v>-0.40102864319927922</v>
      </c>
      <c r="R394" s="20">
        <f t="shared" si="111"/>
        <v>-8.7313007445956732</v>
      </c>
      <c r="S394" s="20">
        <f t="shared" si="116"/>
        <v>93.200397944344786</v>
      </c>
      <c r="T394" s="1">
        <f t="shared" si="117"/>
        <v>0</v>
      </c>
    </row>
    <row r="395" spans="1:20" x14ac:dyDescent="0.25">
      <c r="A395" s="20">
        <f t="shared" si="112"/>
        <v>3.8999999999999608</v>
      </c>
      <c r="C395" s="20">
        <f t="shared" si="102"/>
        <v>21.240847407712391</v>
      </c>
      <c r="D395" s="20">
        <f t="shared" si="105"/>
        <v>9.6912672166298633E-2</v>
      </c>
      <c r="E395" s="20">
        <f t="shared" si="106"/>
        <v>2.1100081029022126</v>
      </c>
      <c r="F395" s="20">
        <f t="shared" si="107"/>
        <v>8.1406644619690841E-2</v>
      </c>
      <c r="G395" s="20">
        <f t="shared" si="108"/>
        <v>1.7724068064378586</v>
      </c>
      <c r="I395" s="20">
        <f t="shared" si="103"/>
        <v>0.29486691693515399</v>
      </c>
      <c r="K395" s="20">
        <f t="shared" si="113"/>
        <v>20.324109986993946</v>
      </c>
      <c r="L395" s="20">
        <f t="shared" si="104"/>
        <v>-0.1163877909234569</v>
      </c>
      <c r="M395" s="20">
        <f t="shared" si="109"/>
        <v>-2.5340254936524471</v>
      </c>
      <c r="N395" s="1">
        <f t="shared" si="114"/>
        <v>135.59543453469988</v>
      </c>
      <c r="P395" s="20">
        <f t="shared" si="115"/>
        <v>6.1728560516421558</v>
      </c>
      <c r="Q395" s="20">
        <f t="shared" si="110"/>
        <v>-0.40084413412516556</v>
      </c>
      <c r="R395" s="20">
        <f t="shared" si="111"/>
        <v>-8.7272835646672231</v>
      </c>
      <c r="S395" s="20">
        <f t="shared" si="116"/>
        <v>93.262563069898434</v>
      </c>
      <c r="T395" s="1">
        <f t="shared" si="117"/>
        <v>0</v>
      </c>
    </row>
    <row r="396" spans="1:20" x14ac:dyDescent="0.25">
      <c r="A396" s="20">
        <f t="shared" si="112"/>
        <v>3.9099999999999606</v>
      </c>
      <c r="C396" s="20">
        <f t="shared" si="102"/>
        <v>21.191375031221934</v>
      </c>
      <c r="D396" s="20">
        <f t="shared" si="105"/>
        <v>9.6461756377394958E-2</v>
      </c>
      <c r="E396" s="20">
        <f t="shared" si="106"/>
        <v>2.1001906461440227</v>
      </c>
      <c r="F396" s="20">
        <f t="shared" si="107"/>
        <v>8.1027875357011767E-2</v>
      </c>
      <c r="G396" s="20">
        <f t="shared" si="108"/>
        <v>1.764160142760979</v>
      </c>
      <c r="I396" s="20">
        <f t="shared" si="103"/>
        <v>0.291273842831756</v>
      </c>
      <c r="K396" s="20">
        <f t="shared" si="113"/>
        <v>20.298769732057423</v>
      </c>
      <c r="L396" s="20">
        <f t="shared" si="104"/>
        <v>-0.11566766457313875</v>
      </c>
      <c r="M396" s="20">
        <f t="shared" si="109"/>
        <v>-2.5183467139808133</v>
      </c>
      <c r="N396" s="1">
        <f t="shared" si="114"/>
        <v>135.79854893329511</v>
      </c>
      <c r="P396" s="20">
        <f t="shared" si="115"/>
        <v>6.0855832159954835</v>
      </c>
      <c r="Q396" s="20">
        <f t="shared" si="110"/>
        <v>-0.40065959045563543</v>
      </c>
      <c r="R396" s="20">
        <f t="shared" si="111"/>
        <v>-8.7232656315182986</v>
      </c>
      <c r="S396" s="20">
        <f t="shared" si="116"/>
        <v>93.323855266236635</v>
      </c>
      <c r="T396" s="1">
        <f t="shared" si="117"/>
        <v>0</v>
      </c>
    </row>
    <row r="397" spans="1:20" x14ac:dyDescent="0.25">
      <c r="A397" s="20">
        <f t="shared" si="112"/>
        <v>3.9199999999999604</v>
      </c>
      <c r="C397" s="20">
        <f t="shared" si="102"/>
        <v>21.142339262197861</v>
      </c>
      <c r="D397" s="20">
        <f t="shared" si="105"/>
        <v>9.6015857626630119E-2</v>
      </c>
      <c r="E397" s="20">
        <f t="shared" si="106"/>
        <v>2.0904824216553477</v>
      </c>
      <c r="F397" s="20">
        <f t="shared" si="107"/>
        <v>8.06533204063693E-2</v>
      </c>
      <c r="G397" s="20">
        <f t="shared" si="108"/>
        <v>1.7560052341904921</v>
      </c>
      <c r="I397" s="20">
        <f t="shared" si="103"/>
        <v>0.28766371825568215</v>
      </c>
      <c r="K397" s="20">
        <f t="shared" si="113"/>
        <v>20.273586264917615</v>
      </c>
      <c r="L397" s="20">
        <f t="shared" si="104"/>
        <v>-0.11495287403407711</v>
      </c>
      <c r="M397" s="20">
        <f t="shared" si="109"/>
        <v>-2.5027841069905752</v>
      </c>
      <c r="N397" s="1">
        <f t="shared" si="114"/>
        <v>136.00141071327997</v>
      </c>
      <c r="P397" s="20">
        <f t="shared" si="115"/>
        <v>5.9983505596803006</v>
      </c>
      <c r="Q397" s="20">
        <f t="shared" si="110"/>
        <v>-0.40047499903424499</v>
      </c>
      <c r="R397" s="20">
        <f t="shared" si="111"/>
        <v>-8.7192466587033532</v>
      </c>
      <c r="S397" s="20">
        <f t="shared" si="116"/>
        <v>93.384274935115016</v>
      </c>
      <c r="T397" s="1">
        <f t="shared" si="117"/>
        <v>0</v>
      </c>
    </row>
    <row r="398" spans="1:20" x14ac:dyDescent="0.25">
      <c r="A398" s="20">
        <f t="shared" si="112"/>
        <v>3.9299999999999602</v>
      </c>
      <c r="C398" s="20">
        <f t="shared" si="102"/>
        <v>21.093740973225113</v>
      </c>
      <c r="D398" s="20">
        <f t="shared" si="105"/>
        <v>9.5574956228725083E-2</v>
      </c>
      <c r="E398" s="20">
        <f t="shared" si="106"/>
        <v>2.0808830008431327</v>
      </c>
      <c r="F398" s="20">
        <f t="shared" si="107"/>
        <v>8.0282963232129079E-2</v>
      </c>
      <c r="G398" s="20">
        <f t="shared" si="108"/>
        <v>1.7479417207082317</v>
      </c>
      <c r="I398" s="20">
        <f t="shared" si="103"/>
        <v>0.28403661767322319</v>
      </c>
      <c r="K398" s="20">
        <f t="shared" si="113"/>
        <v>20.248558423847708</v>
      </c>
      <c r="L398" s="20">
        <f t="shared" si="104"/>
        <v>-0.11424338508565121</v>
      </c>
      <c r="M398" s="20">
        <f t="shared" si="109"/>
        <v>-2.4873369276214068</v>
      </c>
      <c r="N398" s="1">
        <f t="shared" si="114"/>
        <v>136.20402143672379</v>
      </c>
      <c r="P398" s="20">
        <f t="shared" si="115"/>
        <v>5.9111580930932668</v>
      </c>
      <c r="Q398" s="20">
        <f t="shared" si="110"/>
        <v>-0.40029034655028994</v>
      </c>
      <c r="R398" s="20">
        <f t="shared" si="111"/>
        <v>-8.7152263564182437</v>
      </c>
      <c r="S398" s="20">
        <f t="shared" si="116"/>
        <v>93.443822478378891</v>
      </c>
      <c r="T398" s="1">
        <f t="shared" si="117"/>
        <v>0</v>
      </c>
    </row>
    <row r="399" spans="1:20" x14ac:dyDescent="0.25">
      <c r="A399" s="20">
        <f t="shared" si="112"/>
        <v>3.93999999999996</v>
      </c>
      <c r="C399" s="20">
        <f t="shared" si="102"/>
        <v>21.045581034718122</v>
      </c>
      <c r="D399" s="20">
        <f t="shared" si="105"/>
        <v>9.5139032652241357E-2</v>
      </c>
      <c r="E399" s="20">
        <f t="shared" si="106"/>
        <v>2.0713919584637788</v>
      </c>
      <c r="F399" s="20">
        <f t="shared" si="107"/>
        <v>7.9916787427882732E-2</v>
      </c>
      <c r="G399" s="20">
        <f t="shared" si="108"/>
        <v>1.7399692451095741</v>
      </c>
      <c r="I399" s="20">
        <f t="shared" si="103"/>
        <v>0.28039261808969468</v>
      </c>
      <c r="K399" s="20">
        <f t="shared" si="113"/>
        <v>20.223685054571494</v>
      </c>
      <c r="L399" s="20">
        <f t="shared" si="104"/>
        <v>-0.11353916362161168</v>
      </c>
      <c r="M399" s="20">
        <f t="shared" si="109"/>
        <v>-2.4720044333031064</v>
      </c>
      <c r="N399" s="1">
        <f t="shared" si="114"/>
        <v>136.40638265411587</v>
      </c>
      <c r="P399" s="20">
        <f t="shared" si="115"/>
        <v>5.8240058295290842</v>
      </c>
      <c r="Q399" s="20">
        <f t="shared" si="110"/>
        <v>-0.40010561954109108</v>
      </c>
      <c r="R399" s="20">
        <f t="shared" si="111"/>
        <v>-8.7112044315499908</v>
      </c>
      <c r="S399" s="20">
        <f t="shared" si="116"/>
        <v>93.502498297992005</v>
      </c>
      <c r="T399" s="1">
        <f t="shared" si="117"/>
        <v>0</v>
      </c>
    </row>
    <row r="400" spans="1:20" x14ac:dyDescent="0.25">
      <c r="A400" s="20">
        <f t="shared" si="112"/>
        <v>3.9499999999999598</v>
      </c>
      <c r="C400" s="20">
        <f t="shared" si="102"/>
        <v>20.997860314509666</v>
      </c>
      <c r="D400" s="20">
        <f t="shared" si="105"/>
        <v>9.4708067517736125E-2</v>
      </c>
      <c r="E400" s="20">
        <f t="shared" si="106"/>
        <v>2.062008872582977</v>
      </c>
      <c r="F400" s="20">
        <f t="shared" si="107"/>
        <v>7.9554776714898343E-2</v>
      </c>
      <c r="G400" s="20">
        <f t="shared" si="108"/>
        <v>1.7320874529697006</v>
      </c>
      <c r="I400" s="20">
        <f t="shared" si="103"/>
        <v>0.27673179907021589</v>
      </c>
      <c r="K400" s="20">
        <f t="shared" si="113"/>
        <v>20.198965010238464</v>
      </c>
      <c r="L400" s="20">
        <f t="shared" si="104"/>
        <v>-0.11284017564687462</v>
      </c>
      <c r="M400" s="20">
        <f t="shared" si="109"/>
        <v>-2.4567858838857966</v>
      </c>
      <c r="N400" s="1">
        <f t="shared" si="114"/>
        <v>136.60849590443993</v>
      </c>
      <c r="P400" s="20">
        <f t="shared" si="115"/>
        <v>5.7368937852135842</v>
      </c>
      <c r="Q400" s="20">
        <f t="shared" si="110"/>
        <v>-0.3999208043943156</v>
      </c>
      <c r="R400" s="20">
        <f t="shared" si="111"/>
        <v>-8.707180587727315</v>
      </c>
      <c r="S400" s="20">
        <f t="shared" si="116"/>
        <v>93.560302796065727</v>
      </c>
      <c r="T400" s="1">
        <f t="shared" si="117"/>
        <v>0</v>
      </c>
    </row>
    <row r="401" spans="1:20" x14ac:dyDescent="0.25">
      <c r="A401" s="20">
        <f t="shared" si="112"/>
        <v>3.9599999999999596</v>
      </c>
      <c r="C401" s="20">
        <f t="shared" si="102"/>
        <v>20.95057967743595</v>
      </c>
      <c r="D401" s="20">
        <f t="shared" si="105"/>
        <v>9.4282041595930843E-2</v>
      </c>
      <c r="E401" s="20">
        <f t="shared" si="106"/>
        <v>2.0527333245358337</v>
      </c>
      <c r="F401" s="20">
        <f t="shared" si="107"/>
        <v>7.9196914940581911E-2</v>
      </c>
      <c r="G401" s="20">
        <f t="shared" si="108"/>
        <v>1.7242959926101005</v>
      </c>
      <c r="I401" s="20">
        <f t="shared" si="103"/>
        <v>0.27305424275979168</v>
      </c>
      <c r="K401" s="20">
        <f t="shared" si="113"/>
        <v>20.174397151399607</v>
      </c>
      <c r="L401" s="20">
        <f t="shared" si="104"/>
        <v>-0.11214638727435744</v>
      </c>
      <c r="M401" s="20">
        <f t="shared" si="109"/>
        <v>-2.441680541571031</v>
      </c>
      <c r="N401" s="1">
        <f t="shared" si="114"/>
        <v>136.81036271524812</v>
      </c>
      <c r="P401" s="20">
        <f t="shared" si="115"/>
        <v>5.6498219793363109</v>
      </c>
      <c r="Q401" s="20">
        <f t="shared" si="110"/>
        <v>-0.39973588735033377</v>
      </c>
      <c r="R401" s="20">
        <f t="shared" si="111"/>
        <v>-8.7031545253719536</v>
      </c>
      <c r="S401" s="20">
        <f t="shared" si="116"/>
        <v>93.617236374888478</v>
      </c>
      <c r="T401" s="1">
        <f t="shared" si="117"/>
        <v>0</v>
      </c>
    </row>
    <row r="402" spans="1:20" x14ac:dyDescent="0.25">
      <c r="A402" s="20">
        <f t="shared" si="112"/>
        <v>3.9699999999999593</v>
      </c>
      <c r="C402" s="20">
        <f t="shared" si="102"/>
        <v>20.903739984917962</v>
      </c>
      <c r="D402" s="20">
        <f t="shared" si="105"/>
        <v>9.3860935805892234E-2</v>
      </c>
      <c r="E402" s="20">
        <f t="shared" si="106"/>
        <v>2.0435648988872686</v>
      </c>
      <c r="F402" s="20">
        <f t="shared" si="107"/>
        <v>7.884318607694947E-2</v>
      </c>
      <c r="G402" s="20">
        <f t="shared" si="108"/>
        <v>1.7165945150653052</v>
      </c>
      <c r="I402" s="20">
        <f t="shared" si="103"/>
        <v>0.2693600339026691</v>
      </c>
      <c r="K402" s="20">
        <f t="shared" si="113"/>
        <v>20.149980345983895</v>
      </c>
      <c r="L402" s="20">
        <f t="shared" si="104"/>
        <v>-0.11145776472185567</v>
      </c>
      <c r="M402" s="20">
        <f t="shared" si="109"/>
        <v>-2.4266876708437985</v>
      </c>
      <c r="N402" s="1">
        <f t="shared" si="114"/>
        <v>137.01198460273503</v>
      </c>
      <c r="P402" s="20">
        <f t="shared" si="115"/>
        <v>5.5627904340825918</v>
      </c>
      <c r="Q402" s="20">
        <f t="shared" si="110"/>
        <v>-0.3995508545046127</v>
      </c>
      <c r="R402" s="20">
        <f t="shared" si="111"/>
        <v>-8.6991259417507667</v>
      </c>
      <c r="S402" s="20">
        <f t="shared" si="116"/>
        <v>93.673299436955574</v>
      </c>
      <c r="T402" s="1">
        <f t="shared" si="117"/>
        <v>0</v>
      </c>
    </row>
    <row r="403" spans="1:20" x14ac:dyDescent="0.25">
      <c r="A403" s="20">
        <f t="shared" si="112"/>
        <v>3.9799999999999591</v>
      </c>
      <c r="C403" s="20">
        <f t="shared" si="102"/>
        <v>20.857342094539238</v>
      </c>
      <c r="D403" s="20">
        <f t="shared" si="105"/>
        <v>9.3444731213225982E-2</v>
      </c>
      <c r="E403" s="20">
        <f t="shared" si="106"/>
        <v>2.0345031833926841</v>
      </c>
      <c r="F403" s="20">
        <f t="shared" si="107"/>
        <v>7.8493574219109824E-2</v>
      </c>
      <c r="G403" s="20">
        <f t="shared" si="108"/>
        <v>1.7089826740498546</v>
      </c>
      <c r="I403" s="20">
        <f t="shared" si="103"/>
        <v>0.26564925986094057</v>
      </c>
      <c r="K403" s="20">
        <f t="shared" si="113"/>
        <v>20.125713469275457</v>
      </c>
      <c r="L403" s="20">
        <f t="shared" si="104"/>
        <v>-0.11077427430896257</v>
      </c>
      <c r="M403" s="20">
        <f t="shared" si="109"/>
        <v>-2.4118065384054557</v>
      </c>
      <c r="N403" s="1">
        <f t="shared" si="114"/>
        <v>137.2133630718113</v>
      </c>
      <c r="P403" s="20">
        <f t="shared" si="115"/>
        <v>5.4757991746650845</v>
      </c>
      <c r="Q403" s="20">
        <f t="shared" si="110"/>
        <v>-0.39936569181014536</v>
      </c>
      <c r="R403" s="20">
        <f t="shared" si="111"/>
        <v>-8.6950945310286389</v>
      </c>
      <c r="S403" s="20">
        <f t="shared" si="116"/>
        <v>93.728492384999313</v>
      </c>
      <c r="T403" s="1">
        <f t="shared" si="117"/>
        <v>0</v>
      </c>
    </row>
    <row r="404" spans="1:20" x14ac:dyDescent="0.25">
      <c r="A404" s="20">
        <f t="shared" si="112"/>
        <v>3.9899999999999589</v>
      </c>
      <c r="C404" s="20">
        <f t="shared" si="102"/>
        <v>20.811386859620104</v>
      </c>
      <c r="D404" s="20">
        <f t="shared" si="105"/>
        <v>9.3033409028282443E-2</v>
      </c>
      <c r="E404" s="20">
        <f t="shared" si="106"/>
        <v>2.0255477689589036</v>
      </c>
      <c r="F404" s="20">
        <f t="shared" si="107"/>
        <v>7.8148063583757255E-2</v>
      </c>
      <c r="G404" s="20">
        <f t="shared" si="108"/>
        <v>1.7014601259254791</v>
      </c>
      <c r="I404" s="20">
        <f t="shared" si="103"/>
        <v>0.26192201063236725</v>
      </c>
      <c r="K404" s="20">
        <f t="shared" si="113"/>
        <v>20.101595403891402</v>
      </c>
      <c r="L404" s="20">
        <f t="shared" si="104"/>
        <v>-0.11009588245403136</v>
      </c>
      <c r="M404" s="20">
        <f t="shared" si="109"/>
        <v>-2.3970364131075845</v>
      </c>
      <c r="N404" s="1">
        <f t="shared" si="114"/>
        <v>137.41449961617712</v>
      </c>
      <c r="P404" s="20">
        <f t="shared" si="115"/>
        <v>5.3888482293547977</v>
      </c>
      <c r="Q404" s="20">
        <f t="shared" si="110"/>
        <v>-0.39918038507991804</v>
      </c>
      <c r="R404" s="20">
        <f t="shared" si="111"/>
        <v>-8.6910599843221874</v>
      </c>
      <c r="S404" s="20">
        <f t="shared" si="116"/>
        <v>93.782815622019413</v>
      </c>
      <c r="T404" s="1">
        <f t="shared" si="117"/>
        <v>0</v>
      </c>
    </row>
    <row r="405" spans="1:20" x14ac:dyDescent="0.25">
      <c r="A405" s="20">
        <f t="shared" si="112"/>
        <v>3.9999999999999587</v>
      </c>
      <c r="C405" s="20">
        <f t="shared" si="102"/>
        <v>20.765875128788615</v>
      </c>
      <c r="D405" s="20">
        <f t="shared" si="105"/>
        <v>9.2626950604374869E-2</v>
      </c>
      <c r="E405" s="20">
        <f t="shared" si="106"/>
        <v>2.0166982496053749</v>
      </c>
      <c r="F405" s="20">
        <f t="shared" si="107"/>
        <v>7.7806638507674886E-2</v>
      </c>
      <c r="G405" s="20">
        <f t="shared" si="108"/>
        <v>1.6940265296685149</v>
      </c>
      <c r="I405" s="20">
        <f t="shared" si="103"/>
        <v>0.25817837886739481</v>
      </c>
      <c r="K405" s="20">
        <f t="shared" si="113"/>
        <v>20.077625039760324</v>
      </c>
      <c r="L405" s="20">
        <f t="shared" si="104"/>
        <v>-0.10942255567118198</v>
      </c>
      <c r="M405" s="20">
        <f t="shared" si="109"/>
        <v>-2.3823765658868274</v>
      </c>
      <c r="N405" s="1">
        <f t="shared" si="114"/>
        <v>137.6153957183954</v>
      </c>
      <c r="P405" s="20">
        <f t="shared" si="115"/>
        <v>5.3019376295115759</v>
      </c>
      <c r="Q405" s="20">
        <f t="shared" si="110"/>
        <v>-0.39899491998941439</v>
      </c>
      <c r="R405" s="20">
        <f t="shared" si="111"/>
        <v>-8.6870219897542871</v>
      </c>
      <c r="S405" s="20">
        <f t="shared" si="116"/>
        <v>93.836269551313748</v>
      </c>
      <c r="T405" s="1">
        <f t="shared" si="117"/>
        <v>0</v>
      </c>
    </row>
    <row r="406" spans="1:20" x14ac:dyDescent="0.25">
      <c r="A406" s="20">
        <f t="shared" si="112"/>
        <v>4.0099999999999589</v>
      </c>
      <c r="C406" s="20">
        <f t="shared" si="102"/>
        <v>20.720807745548232</v>
      </c>
      <c r="D406" s="20">
        <f t="shared" si="105"/>
        <v>9.2225337436009636E-2</v>
      </c>
      <c r="E406" s="20">
        <f t="shared" si="106"/>
        <v>2.0079542224256399</v>
      </c>
      <c r="F406" s="20">
        <f t="shared" si="107"/>
        <v>7.7469283446248094E-2</v>
      </c>
      <c r="G406" s="20">
        <f t="shared" si="108"/>
        <v>1.6866815468375376</v>
      </c>
      <c r="I406" s="20">
        <f t="shared" si="103"/>
        <v>0.2544184598853334</v>
      </c>
      <c r="K406" s="20">
        <f t="shared" si="113"/>
        <v>20.053801274101456</v>
      </c>
      <c r="L406" s="20">
        <f t="shared" si="104"/>
        <v>-0.10875426056735243</v>
      </c>
      <c r="M406" s="20">
        <f t="shared" si="109"/>
        <v>-2.3678262697006844</v>
      </c>
      <c r="N406" s="1">
        <f t="shared" si="114"/>
        <v>137.81605284996473</v>
      </c>
      <c r="P406" s="20">
        <f t="shared" si="115"/>
        <v>5.2150674096140328</v>
      </c>
      <c r="Q406" s="20">
        <f t="shared" si="110"/>
        <v>-0.39880928207915678</v>
      </c>
      <c r="R406" s="20">
        <f t="shared" si="111"/>
        <v>-8.6829802325094008</v>
      </c>
      <c r="S406" s="20">
        <f t="shared" si="116"/>
        <v>93.888854576509374</v>
      </c>
      <c r="T406" s="1">
        <f t="shared" si="117"/>
        <v>0</v>
      </c>
    </row>
    <row r="407" spans="1:20" x14ac:dyDescent="0.25">
      <c r="A407" s="20">
        <f t="shared" si="112"/>
        <v>4.0199999999999587</v>
      </c>
      <c r="C407" s="20">
        <f t="shared" si="102"/>
        <v>20.67618554784239</v>
      </c>
      <c r="D407" s="20">
        <f t="shared" si="105"/>
        <v>9.1828551157128069E-2</v>
      </c>
      <c r="E407" s="20">
        <f t="shared" si="106"/>
        <v>1.9993152875490545</v>
      </c>
      <c r="F407" s="20">
        <f t="shared" si="107"/>
        <v>7.7135982971987579E-2</v>
      </c>
      <c r="G407" s="20">
        <f t="shared" si="108"/>
        <v>1.6794248415412059</v>
      </c>
      <c r="I407" s="20">
        <f t="shared" si="103"/>
        <v>0.25064235168967502</v>
      </c>
      <c r="K407" s="20">
        <f t="shared" si="113"/>
        <v>20.030123011404449</v>
      </c>
      <c r="L407" s="20">
        <f t="shared" si="104"/>
        <v>-0.10809096383939566</v>
      </c>
      <c r="M407" s="20">
        <f t="shared" si="109"/>
        <v>-2.3533847994643078</v>
      </c>
      <c r="N407" s="1">
        <f t="shared" si="114"/>
        <v>138.01647247139226</v>
      </c>
      <c r="P407" s="20">
        <f t="shared" si="115"/>
        <v>5.1282376072889386</v>
      </c>
      <c r="Q407" s="20">
        <f t="shared" si="110"/>
        <v>-0.39862345675728655</v>
      </c>
      <c r="R407" s="20">
        <f t="shared" si="111"/>
        <v>-8.6789343948897582</v>
      </c>
      <c r="S407" s="20">
        <f t="shared" si="116"/>
        <v>93.940571101593889</v>
      </c>
      <c r="T407" s="1">
        <f t="shared" si="117"/>
        <v>0</v>
      </c>
    </row>
    <row r="408" spans="1:20" x14ac:dyDescent="0.25">
      <c r="A408" s="20">
        <f t="shared" si="112"/>
        <v>4.0299999999999585</v>
      </c>
      <c r="C408" s="20">
        <f t="shared" si="102"/>
        <v>20.63200936761616</v>
      </c>
      <c r="D408" s="20">
        <f t="shared" si="105"/>
        <v>9.1436573539360536E-2</v>
      </c>
      <c r="E408" s="20">
        <f t="shared" si="106"/>
        <v>1.9907810481027768</v>
      </c>
      <c r="F408" s="20">
        <f t="shared" si="107"/>
        <v>7.6806721773062858E-2</v>
      </c>
      <c r="G408" s="20">
        <f t="shared" si="108"/>
        <v>1.6722560804063327</v>
      </c>
      <c r="I408" s="20">
        <f t="shared" si="103"/>
        <v>0.24685015498252114</v>
      </c>
      <c r="K408" s="20">
        <f t="shared" si="113"/>
        <v>20.006589163409807</v>
      </c>
      <c r="L408" s="20">
        <f t="shared" si="104"/>
        <v>-0.10743263227122342</v>
      </c>
      <c r="M408" s="20">
        <f t="shared" si="109"/>
        <v>-2.3390514319883176</v>
      </c>
      <c r="N408" s="1">
        <f t="shared" si="114"/>
        <v>138.21665603226631</v>
      </c>
      <c r="P408" s="20">
        <f t="shared" si="115"/>
        <v>5.0414482633400413</v>
      </c>
      <c r="Q408" s="20">
        <f t="shared" si="110"/>
        <v>-0.3984374293021814</v>
      </c>
      <c r="R408" s="20">
        <f t="shared" si="111"/>
        <v>-8.674884156372336</v>
      </c>
      <c r="S408" s="20">
        <f t="shared" si="116"/>
        <v>93.991419530947041</v>
      </c>
      <c r="T408" s="1">
        <f t="shared" si="117"/>
        <v>0</v>
      </c>
    </row>
    <row r="409" spans="1:20" x14ac:dyDescent="0.25">
      <c r="A409" s="20">
        <f t="shared" si="112"/>
        <v>4.0399999999999583</v>
      </c>
      <c r="C409" s="20">
        <f t="shared" si="102"/>
        <v>20.588280030375046</v>
      </c>
      <c r="D409" s="20">
        <f t="shared" si="105"/>
        <v>9.1049386490291651E-2</v>
      </c>
      <c r="E409" s="20">
        <f t="shared" si="106"/>
        <v>1.9823511101739963</v>
      </c>
      <c r="F409" s="20">
        <f t="shared" si="107"/>
        <v>7.6481484651844983E-2</v>
      </c>
      <c r="G409" s="20">
        <f t="shared" si="108"/>
        <v>1.6651749325461569</v>
      </c>
      <c r="I409" s="20">
        <f t="shared" si="103"/>
        <v>0.24304197317809276</v>
      </c>
      <c r="K409" s="20">
        <f t="shared" si="113"/>
        <v>19.983198649089925</v>
      </c>
      <c r="L409" s="20">
        <f t="shared" si="104"/>
        <v>-0.1067792327309969</v>
      </c>
      <c r="M409" s="20">
        <f t="shared" si="109"/>
        <v>-2.3248254459176336</v>
      </c>
      <c r="N409" s="1">
        <f t="shared" si="114"/>
        <v>138.41660497132881</v>
      </c>
      <c r="P409" s="20">
        <f t="shared" si="115"/>
        <v>4.9546994217763176</v>
      </c>
      <c r="Q409" s="20">
        <f t="shared" si="110"/>
        <v>-0.39825118486511174</v>
      </c>
      <c r="R409" s="20">
        <f t="shared" si="111"/>
        <v>-8.6708291936667052</v>
      </c>
      <c r="S409" s="20">
        <f t="shared" si="116"/>
        <v>94.041400269372616</v>
      </c>
      <c r="T409" s="1">
        <f t="shared" si="117"/>
        <v>0</v>
      </c>
    </row>
    <row r="410" spans="1:20" x14ac:dyDescent="0.25">
      <c r="A410" s="20">
        <f t="shared" si="112"/>
        <v>4.0499999999999581</v>
      </c>
      <c r="C410" s="20">
        <f t="shared" si="102"/>
        <v>20.544998354741178</v>
      </c>
      <c r="D410" s="20">
        <f t="shared" si="105"/>
        <v>9.0666972051737391E-2</v>
      </c>
      <c r="E410" s="20">
        <f t="shared" si="106"/>
        <v>1.9740250827724231</v>
      </c>
      <c r="F410" s="20">
        <f t="shared" si="107"/>
        <v>7.616025652345941E-2</v>
      </c>
      <c r="G410" s="20">
        <f t="shared" si="108"/>
        <v>1.6581810695288355</v>
      </c>
      <c r="I410" s="20">
        <f t="shared" si="103"/>
        <v>0.23921791241529697</v>
      </c>
      <c r="K410" s="20">
        <f t="shared" si="113"/>
        <v>19.959950394630749</v>
      </c>
      <c r="L410" s="20">
        <f t="shared" si="104"/>
        <v>-0.10613073216836638</v>
      </c>
      <c r="M410" s="20">
        <f t="shared" si="109"/>
        <v>-2.310706121671378</v>
      </c>
      <c r="N410" s="1">
        <f t="shared" si="114"/>
        <v>138.61632071654739</v>
      </c>
      <c r="P410" s="20">
        <f t="shared" si="115"/>
        <v>4.867991129839651</v>
      </c>
      <c r="Q410" s="20">
        <f t="shared" si="110"/>
        <v>-0.39806470847293507</v>
      </c>
      <c r="R410" s="20">
        <f t="shared" si="111"/>
        <v>-8.6667691807736791</v>
      </c>
      <c r="S410" s="20">
        <f t="shared" si="116"/>
        <v>94.090513722130694</v>
      </c>
      <c r="T410" s="1">
        <f t="shared" si="117"/>
        <v>0</v>
      </c>
    </row>
    <row r="411" spans="1:20" x14ac:dyDescent="0.25">
      <c r="A411" s="20">
        <f t="shared" si="112"/>
        <v>4.0599999999999579</v>
      </c>
      <c r="C411" s="20">
        <f t="shared" si="102"/>
        <v>20.50216515200697</v>
      </c>
      <c r="D411" s="20">
        <f t="shared" si="105"/>
        <v>9.0289312398033256E-2</v>
      </c>
      <c r="E411" s="20">
        <f t="shared" si="106"/>
        <v>1.9658025777930168</v>
      </c>
      <c r="F411" s="20">
        <f t="shared" si="107"/>
        <v>7.5843022414347941E-2</v>
      </c>
      <c r="G411" s="20">
        <f t="shared" si="108"/>
        <v>1.6512741653461342</v>
      </c>
      <c r="I411" s="20">
        <f t="shared" si="103"/>
        <v>0.23537808156932161</v>
      </c>
      <c r="K411" s="20">
        <f t="shared" si="113"/>
        <v>19.936843333414036</v>
      </c>
      <c r="L411" s="20">
        <f t="shared" si="104"/>
        <v>-0.10548709761175926</v>
      </c>
      <c r="M411" s="20">
        <f t="shared" si="109"/>
        <v>-2.2966927413838287</v>
      </c>
      <c r="N411" s="1">
        <f t="shared" si="114"/>
        <v>138.8158046851876</v>
      </c>
      <c r="P411" s="20">
        <f t="shared" si="115"/>
        <v>4.7813234380319143</v>
      </c>
      <c r="Q411" s="20">
        <f t="shared" si="110"/>
        <v>-0.39787798503082933</v>
      </c>
      <c r="R411" s="20">
        <f t="shared" si="111"/>
        <v>-8.6627037890448371</v>
      </c>
      <c r="S411" s="20">
        <f t="shared" si="116"/>
        <v>94.138760294970055</v>
      </c>
      <c r="T411" s="1">
        <f t="shared" si="117"/>
        <v>0</v>
      </c>
    </row>
    <row r="412" spans="1:20" x14ac:dyDescent="0.25">
      <c r="A412" s="20">
        <f t="shared" si="112"/>
        <v>4.0699999999999577</v>
      </c>
      <c r="C412" s="20">
        <f t="shared" si="102"/>
        <v>20.45978122568647</v>
      </c>
      <c r="D412" s="20">
        <f t="shared" si="105"/>
        <v>8.991638983433399E-2</v>
      </c>
      <c r="E412" s="20">
        <f t="shared" si="106"/>
        <v>1.9576832099789678</v>
      </c>
      <c r="F412" s="20">
        <f t="shared" si="107"/>
        <v>7.5529767460840544E-2</v>
      </c>
      <c r="G412" s="20">
        <f t="shared" si="108"/>
        <v>1.6444538963823327</v>
      </c>
      <c r="I412" s="20">
        <f t="shared" si="103"/>
        <v>0.23152259226223337</v>
      </c>
      <c r="K412" s="20">
        <f t="shared" si="113"/>
        <v>19.913876406000199</v>
      </c>
      <c r="L412" s="20">
        <f t="shared" si="104"/>
        <v>-0.10484829616571888</v>
      </c>
      <c r="M412" s="20">
        <f t="shared" si="109"/>
        <v>-2.2827845888464813</v>
      </c>
      <c r="N412" s="1">
        <f t="shared" si="114"/>
        <v>139.01505828388468</v>
      </c>
      <c r="P412" s="20">
        <f t="shared" si="115"/>
        <v>4.6946964001414662</v>
      </c>
      <c r="Q412" s="20">
        <f t="shared" si="110"/>
        <v>-0.39769099932506463</v>
      </c>
      <c r="R412" s="20">
        <f t="shared" si="111"/>
        <v>-8.6586326872428625</v>
      </c>
      <c r="S412" s="20">
        <f t="shared" si="116"/>
        <v>94.186140394160915</v>
      </c>
      <c r="T412" s="1">
        <f t="shared" si="117"/>
        <v>0</v>
      </c>
    </row>
    <row r="413" spans="1:20" x14ac:dyDescent="0.25">
      <c r="A413" s="20">
        <f t="shared" si="112"/>
        <v>4.0799999999999574</v>
      </c>
      <c r="C413" s="20">
        <f t="shared" si="102"/>
        <v>20.417847371064529</v>
      </c>
      <c r="D413" s="20">
        <f t="shared" si="105"/>
        <v>8.9548186794924101E-2</v>
      </c>
      <c r="E413" s="20">
        <f t="shared" si="106"/>
        <v>1.9496665968849141</v>
      </c>
      <c r="F413" s="20">
        <f t="shared" si="107"/>
        <v>7.5220476907736242E-2</v>
      </c>
      <c r="G413" s="20">
        <f t="shared" si="108"/>
        <v>1.6377199413833277</v>
      </c>
      <c r="I413" s="20">
        <f t="shared" si="103"/>
        <v>0.22765155887255181</v>
      </c>
      <c r="K413" s="20">
        <f t="shared" si="113"/>
        <v>19.891048560111734</v>
      </c>
      <c r="L413" s="20">
        <f t="shared" si="104"/>
        <v>-0.10421429500829367</v>
      </c>
      <c r="M413" s="20">
        <f t="shared" si="109"/>
        <v>-2.2689809494512012</v>
      </c>
      <c r="N413" s="1">
        <f t="shared" si="114"/>
        <v>139.21408290871523</v>
      </c>
      <c r="P413" s="20">
        <f t="shared" si="115"/>
        <v>4.6081100732690379</v>
      </c>
      <c r="Q413" s="20">
        <f t="shared" si="110"/>
        <v>-0.39750373602581385</v>
      </c>
      <c r="R413" s="20">
        <f t="shared" si="111"/>
        <v>-8.6545555416027398</v>
      </c>
      <c r="S413" s="20">
        <f t="shared" si="116"/>
        <v>94.232654426527972</v>
      </c>
      <c r="T413" s="1">
        <f t="shared" si="117"/>
        <v>0</v>
      </c>
    </row>
    <row r="414" spans="1:20" x14ac:dyDescent="0.25">
      <c r="A414" s="20">
        <f t="shared" si="112"/>
        <v>4.0899999999999572</v>
      </c>
      <c r="C414" s="20">
        <f t="shared" si="102"/>
        <v>20.376364374743972</v>
      </c>
      <c r="D414" s="20">
        <f t="shared" si="105"/>
        <v>8.918468584153956E-2</v>
      </c>
      <c r="E414" s="20">
        <f t="shared" si="106"/>
        <v>1.9417523588403998</v>
      </c>
      <c r="F414" s="20">
        <f t="shared" si="107"/>
        <v>7.4915136106893238E-2</v>
      </c>
      <c r="G414" s="20">
        <f t="shared" si="108"/>
        <v>1.631071981425936</v>
      </c>
      <c r="I414" s="20">
        <f t="shared" si="103"/>
        <v>0.22376509854377391</v>
      </c>
      <c r="K414" s="20">
        <f t="shared" si="113"/>
        <v>19.868358750617222</v>
      </c>
      <c r="L414" s="20">
        <f t="shared" si="104"/>
        <v>-0.10358506138847835</v>
      </c>
      <c r="M414" s="20">
        <f t="shared" si="109"/>
        <v>-2.2552811101345167</v>
      </c>
      <c r="N414" s="1">
        <f t="shared" si="114"/>
        <v>139.41287994526888</v>
      </c>
      <c r="P414" s="20">
        <f t="shared" si="115"/>
        <v>4.5215645178530108</v>
      </c>
      <c r="Q414" s="20">
        <f t="shared" si="110"/>
        <v>-0.39731617969000188</v>
      </c>
      <c r="R414" s="20">
        <f t="shared" si="111"/>
        <v>-8.6504720158937918</v>
      </c>
      <c r="S414" s="20">
        <f t="shared" si="116"/>
        <v>94.278302799483583</v>
      </c>
      <c r="T414" s="1">
        <f t="shared" si="117"/>
        <v>0</v>
      </c>
    </row>
    <row r="415" spans="1:20" x14ac:dyDescent="0.25">
      <c r="A415" s="20">
        <f t="shared" si="112"/>
        <v>4.099999999999957</v>
      </c>
      <c r="C415" s="20">
        <f t="shared" si="102"/>
        <v>20.335333014190986</v>
      </c>
      <c r="D415" s="20">
        <f t="shared" si="105"/>
        <v>8.8825869661700446E-2</v>
      </c>
      <c r="E415" s="20">
        <f t="shared" si="106"/>
        <v>1.9339401189135739</v>
      </c>
      <c r="F415" s="20">
        <f t="shared" si="107"/>
        <v>7.4613730515828369E-2</v>
      </c>
      <c r="G415" s="20">
        <f t="shared" si="108"/>
        <v>1.624509699887402</v>
      </c>
      <c r="I415" s="20">
        <f t="shared" si="103"/>
        <v>0.2198633311918235</v>
      </c>
      <c r="K415" s="20">
        <f t="shared" si="113"/>
        <v>19.845805939515877</v>
      </c>
      <c r="L415" s="20">
        <f t="shared" si="104"/>
        <v>-0.10296056262370799</v>
      </c>
      <c r="M415" s="20">
        <f t="shared" si="109"/>
        <v>-2.2416843593230569</v>
      </c>
      <c r="N415" s="1">
        <f t="shared" si="114"/>
        <v>139.61145076871955</v>
      </c>
      <c r="P415" s="20">
        <f t="shared" si="115"/>
        <v>4.4350597976940733</v>
      </c>
      <c r="Q415" s="20">
        <f t="shared" si="110"/>
        <v>-0.39712831476419369</v>
      </c>
      <c r="R415" s="20">
        <f t="shared" si="111"/>
        <v>-8.6463817714825542</v>
      </c>
      <c r="S415" s="20">
        <f t="shared" si="116"/>
        <v>94.32308592106132</v>
      </c>
      <c r="T415" s="1">
        <f t="shared" si="117"/>
        <v>0</v>
      </c>
    </row>
    <row r="416" spans="1:20" x14ac:dyDescent="0.25">
      <c r="A416" s="20">
        <f t="shared" si="112"/>
        <v>4.1099999999999568</v>
      </c>
      <c r="C416" s="20">
        <f t="shared" si="102"/>
        <v>20.294754057278855</v>
      </c>
      <c r="D416" s="20">
        <f t="shared" si="105"/>
        <v>8.8471721067054129E-2</v>
      </c>
      <c r="E416" s="20">
        <f t="shared" si="106"/>
        <v>1.9262295028751171</v>
      </c>
      <c r="F416" s="20">
        <f t="shared" si="107"/>
        <v>7.4316245696325473E-2</v>
      </c>
      <c r="G416" s="20">
        <f t="shared" si="108"/>
        <v>1.6180327824150986</v>
      </c>
      <c r="I416" s="20">
        <f t="shared" si="103"/>
        <v>0.21594637951140053</v>
      </c>
      <c r="K416" s="20">
        <f t="shared" si="113"/>
        <v>19.823389095922646</v>
      </c>
      <c r="L416" s="20">
        <f t="shared" si="104"/>
        <v>-0.10234076609740525</v>
      </c>
      <c r="M416" s="20">
        <f t="shared" si="109"/>
        <v>-2.2281899868801491</v>
      </c>
      <c r="N416" s="1">
        <f t="shared" si="114"/>
        <v>139.80979674389675</v>
      </c>
      <c r="P416" s="20">
        <f t="shared" si="115"/>
        <v>4.3485959799792475</v>
      </c>
      <c r="Q416" s="20">
        <f t="shared" si="110"/>
        <v>-0.39694012558752068</v>
      </c>
      <c r="R416" s="20">
        <f t="shared" si="111"/>
        <v>-8.6422844673964878</v>
      </c>
      <c r="S416" s="20">
        <f t="shared" si="116"/>
        <v>94.36700419994969</v>
      </c>
      <c r="T416" s="1">
        <f t="shared" si="117"/>
        <v>0</v>
      </c>
    </row>
    <row r="417" spans="1:20" x14ac:dyDescent="0.25">
      <c r="A417" s="20">
        <f t="shared" si="112"/>
        <v>4.1199999999999566</v>
      </c>
      <c r="C417" s="20">
        <f t="shared" si="102"/>
        <v>20.25462826183027</v>
      </c>
      <c r="D417" s="20">
        <f t="shared" si="105"/>
        <v>8.8122222991729504E-2</v>
      </c>
      <c r="E417" s="20">
        <f t="shared" si="106"/>
        <v>1.9186201391624103</v>
      </c>
      <c r="F417" s="20">
        <f t="shared" si="107"/>
        <v>7.4022667313052778E-2</v>
      </c>
      <c r="G417" s="20">
        <f t="shared" si="108"/>
        <v>1.6116409168964245</v>
      </c>
      <c r="I417" s="20">
        <f t="shared" si="103"/>
        <v>0.21201436898120574</v>
      </c>
      <c r="K417" s="20">
        <f t="shared" si="113"/>
        <v>19.801107196053845</v>
      </c>
      <c r="L417" s="20">
        <f t="shared" si="104"/>
        <v>-0.10172563925658271</v>
      </c>
      <c r="M417" s="20">
        <f t="shared" si="109"/>
        <v>-2.2147972840536188</v>
      </c>
      <c r="N417" s="1">
        <f t="shared" si="114"/>
        <v>140.00791922535663</v>
      </c>
      <c r="P417" s="20">
        <f t="shared" si="115"/>
        <v>4.2621731353052823</v>
      </c>
      <c r="Q417" s="20">
        <f t="shared" si="110"/>
        <v>-0.39675159639464586</v>
      </c>
      <c r="R417" s="20">
        <f t="shared" si="111"/>
        <v>-8.6381797603885442</v>
      </c>
      <c r="S417" s="20">
        <f t="shared" si="116"/>
        <v>94.410058045526114</v>
      </c>
      <c r="T417" s="1">
        <f t="shared" si="117"/>
        <v>0</v>
      </c>
    </row>
    <row r="418" spans="1:20" x14ac:dyDescent="0.25">
      <c r="A418" s="20">
        <f t="shared" si="112"/>
        <v>4.1299999999999564</v>
      </c>
      <c r="C418" s="20">
        <f t="shared" si="102"/>
        <v>20.214956375158391</v>
      </c>
      <c r="D418" s="20">
        <f t="shared" si="105"/>
        <v>8.7777358490701299E-2</v>
      </c>
      <c r="E418" s="20">
        <f t="shared" si="106"/>
        <v>1.9111116588439212</v>
      </c>
      <c r="F418" s="20">
        <f t="shared" si="107"/>
        <v>7.3732981132189096E-2</v>
      </c>
      <c r="G418" s="20">
        <f t="shared" si="108"/>
        <v>1.605333793428894</v>
      </c>
      <c r="I418" s="20">
        <f t="shared" si="103"/>
        <v>0.20806742786801596</v>
      </c>
      <c r="K418" s="20">
        <f t="shared" si="113"/>
        <v>19.77895922321331</v>
      </c>
      <c r="L418" s="20">
        <f t="shared" si="104"/>
        <v>-0.10111514960949984</v>
      </c>
      <c r="M418" s="20">
        <f t="shared" si="109"/>
        <v>-2.2015055434247732</v>
      </c>
      <c r="N418" s="1">
        <f t="shared" si="114"/>
        <v>140.20581955745297</v>
      </c>
      <c r="P418" s="20">
        <f t="shared" si="115"/>
        <v>4.1757913377013969</v>
      </c>
      <c r="Q418" s="20">
        <f t="shared" si="110"/>
        <v>-0.39656271131876725</v>
      </c>
      <c r="R418" s="20">
        <f t="shared" si="111"/>
        <v>-8.6340673050025529</v>
      </c>
      <c r="S418" s="20">
        <f t="shared" si="116"/>
        <v>94.452247867891145</v>
      </c>
      <c r="T418" s="1">
        <f t="shared" si="117"/>
        <v>0</v>
      </c>
    </row>
    <row r="419" spans="1:20" x14ac:dyDescent="0.25">
      <c r="A419" s="20">
        <f t="shared" si="112"/>
        <v>4.1399999999999562</v>
      </c>
      <c r="C419" s="20">
        <f t="shared" si="102"/>
        <v>20.175739133606893</v>
      </c>
      <c r="D419" s="20">
        <f t="shared" si="105"/>
        <v>8.7437110738165402E-2</v>
      </c>
      <c r="E419" s="20">
        <f t="shared" si="106"/>
        <v>1.903703695583832</v>
      </c>
      <c r="F419" s="20">
        <f t="shared" si="107"/>
        <v>7.3447173020058945E-2</v>
      </c>
      <c r="G419" s="20">
        <f t="shared" si="108"/>
        <v>1.5991111042904191</v>
      </c>
      <c r="I419" s="20">
        <f t="shared" si="103"/>
        <v>0.20410568722958689</v>
      </c>
      <c r="K419" s="20">
        <f t="shared" si="113"/>
        <v>19.756944167779061</v>
      </c>
      <c r="L419" s="20">
        <f t="shared" si="104"/>
        <v>-0.10050926472337704</v>
      </c>
      <c r="M419" s="20">
        <f t="shared" si="109"/>
        <v>-2.1883140588586336</v>
      </c>
      <c r="N419" s="1">
        <f t="shared" si="114"/>
        <v>140.40349907440793</v>
      </c>
      <c r="P419" s="20">
        <f t="shared" si="115"/>
        <v>4.0894506646513715</v>
      </c>
      <c r="Q419" s="20">
        <f t="shared" si="110"/>
        <v>-0.39637345439465915</v>
      </c>
      <c r="R419" s="20">
        <f t="shared" si="111"/>
        <v>-8.6299467536394339</v>
      </c>
      <c r="S419" s="20">
        <f t="shared" si="116"/>
        <v>94.493574077902906</v>
      </c>
      <c r="T419" s="1">
        <f t="shared" si="117"/>
        <v>0</v>
      </c>
    </row>
    <row r="420" spans="1:20" x14ac:dyDescent="0.25">
      <c r="A420" s="20">
        <f t="shared" si="112"/>
        <v>4.1499999999999559</v>
      </c>
      <c r="C420" s="20">
        <f t="shared" si="102"/>
        <v>20.13697726208915</v>
      </c>
      <c r="D420" s="20">
        <f t="shared" si="105"/>
        <v>8.7101463025924156E-2</v>
      </c>
      <c r="E420" s="20">
        <f t="shared" si="106"/>
        <v>1.8963958856068834</v>
      </c>
      <c r="F420" s="20">
        <f t="shared" si="107"/>
        <v>7.3165228941776281E-2</v>
      </c>
      <c r="G420" s="20">
        <f t="shared" si="108"/>
        <v>1.5929725439097819</v>
      </c>
      <c r="I420" s="20">
        <f t="shared" si="103"/>
        <v>0.20012928091636045</v>
      </c>
      <c r="K420" s="20">
        <f t="shared" si="113"/>
        <v>19.735061027190476</v>
      </c>
      <c r="L420" s="20">
        <f t="shared" si="104"/>
        <v>-9.9907952222166252E-2</v>
      </c>
      <c r="M420" s="20">
        <f t="shared" si="109"/>
        <v>-2.1752221254553943</v>
      </c>
      <c r="N420" s="1">
        <f t="shared" si="114"/>
        <v>140.60095910038277</v>
      </c>
      <c r="P420" s="20">
        <f t="shared" si="115"/>
        <v>4.0031511971149776</v>
      </c>
      <c r="Q420" s="20">
        <f t="shared" si="110"/>
        <v>-0.39618380956175159</v>
      </c>
      <c r="R420" s="20">
        <f t="shared" si="111"/>
        <v>-8.6258177566242455</v>
      </c>
      <c r="S420" s="20">
        <f t="shared" si="116"/>
        <v>94.534037087211729</v>
      </c>
      <c r="T420" s="1">
        <f t="shared" si="117"/>
        <v>0</v>
      </c>
    </row>
    <row r="421" spans="1:20" x14ac:dyDescent="0.25">
      <c r="A421" s="20">
        <f t="shared" si="112"/>
        <v>4.1599999999999557</v>
      </c>
      <c r="C421" s="20">
        <f t="shared" si="102"/>
        <v>20.098671473626815</v>
      </c>
      <c r="D421" s="20">
        <f t="shared" si="105"/>
        <v>8.6770398761782039E-2</v>
      </c>
      <c r="E421" s="20">
        <f t="shared" si="106"/>
        <v>1.8891878676634453</v>
      </c>
      <c r="F421" s="20">
        <f t="shared" si="107"/>
        <v>7.2887134959896918E-2</v>
      </c>
      <c r="G421" s="20">
        <f t="shared" si="108"/>
        <v>1.5869178088372942</v>
      </c>
      <c r="I421" s="20">
        <f t="shared" si="103"/>
        <v>0.19613834557195389</v>
      </c>
      <c r="K421" s="20">
        <f t="shared" si="113"/>
        <v>19.71330880593592</v>
      </c>
      <c r="L421" s="20">
        <f t="shared" si="104"/>
        <v>-9.9311179784379672E-2</v>
      </c>
      <c r="M421" s="20">
        <f t="shared" si="109"/>
        <v>-2.16222903950315</v>
      </c>
      <c r="N421" s="1">
        <f t="shared" si="114"/>
        <v>140.7982009495484</v>
      </c>
      <c r="P421" s="20">
        <f t="shared" si="115"/>
        <v>3.916893019548735</v>
      </c>
      <c r="Q421" s="20">
        <f t="shared" si="110"/>
        <v>-0.39599376066724723</v>
      </c>
      <c r="R421" s="20">
        <f t="shared" si="111"/>
        <v>-8.6216799622740528</v>
      </c>
      <c r="S421" s="20">
        <f t="shared" si="116"/>
        <v>94.573637308295048</v>
      </c>
      <c r="T421" s="1">
        <f t="shared" si="117"/>
        <v>0</v>
      </c>
    </row>
    <row r="422" spans="1:20" x14ac:dyDescent="0.25">
      <c r="A422" s="20">
        <f t="shared" si="112"/>
        <v>4.1699999999999555</v>
      </c>
      <c r="C422" s="20">
        <f t="shared" si="102"/>
        <v>20.060822468887991</v>
      </c>
      <c r="D422" s="20">
        <f t="shared" si="105"/>
        <v>8.6443901467951764E-2</v>
      </c>
      <c r="E422" s="20">
        <f t="shared" si="106"/>
        <v>1.8820792829948132</v>
      </c>
      <c r="F422" s="20">
        <f t="shared" si="107"/>
        <v>7.2612877233079492E-2</v>
      </c>
      <c r="G422" s="20">
        <f t="shared" si="108"/>
        <v>1.5809465977156432</v>
      </c>
      <c r="I422" s="20">
        <f t="shared" si="103"/>
        <v>0.19213302063240897</v>
      </c>
      <c r="K422" s="20">
        <f t="shared" si="113"/>
        <v>19.691686515540887</v>
      </c>
      <c r="L422" s="20">
        <f t="shared" si="104"/>
        <v>-9.8718915140977775E-2</v>
      </c>
      <c r="M422" s="20">
        <f t="shared" si="109"/>
        <v>-2.1493340984319134</v>
      </c>
      <c r="N422" s="1">
        <f t="shared" si="114"/>
        <v>140.9952259261558</v>
      </c>
      <c r="P422" s="20">
        <f t="shared" si="115"/>
        <v>3.8306762199259947</v>
      </c>
      <c r="Q422" s="20">
        <f t="shared" si="110"/>
        <v>-0.39580329146927534</v>
      </c>
      <c r="R422" s="20">
        <f t="shared" si="111"/>
        <v>-8.617533016966588</v>
      </c>
      <c r="S422" s="20">
        <f t="shared" si="116"/>
        <v>94.612375154492426</v>
      </c>
      <c r="T422" s="1">
        <f t="shared" si="117"/>
        <v>0</v>
      </c>
    </row>
    <row r="423" spans="1:20" x14ac:dyDescent="0.25">
      <c r="A423" s="20">
        <f t="shared" si="112"/>
        <v>4.1799999999999553</v>
      </c>
      <c r="C423" s="20">
        <f t="shared" si="102"/>
        <v>20.023430935725219</v>
      </c>
      <c r="D423" s="20">
        <f t="shared" si="105"/>
        <v>8.6121954779470197E-2</v>
      </c>
      <c r="E423" s="20">
        <f t="shared" si="106"/>
        <v>1.8750697752987198</v>
      </c>
      <c r="F423" s="20">
        <f t="shared" si="107"/>
        <v>7.2342442014754968E-2</v>
      </c>
      <c r="G423" s="20">
        <f t="shared" si="108"/>
        <v>1.5750586112509246</v>
      </c>
      <c r="I423" s="20">
        <f t="shared" si="103"/>
        <v>0.18811344832418045</v>
      </c>
      <c r="K423" s="20">
        <f t="shared" si="113"/>
        <v>19.670193174556569</v>
      </c>
      <c r="L423" s="20">
        <f t="shared" si="104"/>
        <v>-9.8131126073316616E-2</v>
      </c>
      <c r="M423" s="20">
        <f t="shared" si="109"/>
        <v>-2.1365366007689226</v>
      </c>
      <c r="N423" s="1">
        <f t="shared" si="114"/>
        <v>141.19203532460628</v>
      </c>
      <c r="P423" s="20">
        <f t="shared" si="115"/>
        <v>3.744500889756329</v>
      </c>
      <c r="Q423" s="20">
        <f t="shared" si="110"/>
        <v>-0.395612385640083</v>
      </c>
      <c r="R423" s="20">
        <f t="shared" si="111"/>
        <v>-8.613376565209732</v>
      </c>
      <c r="S423" s="20">
        <f t="shared" si="116"/>
        <v>94.650251040040828</v>
      </c>
      <c r="T423" s="1">
        <f t="shared" si="117"/>
        <v>0</v>
      </c>
    </row>
    <row r="424" spans="1:20" x14ac:dyDescent="0.25">
      <c r="A424" s="20">
        <f t="shared" si="112"/>
        <v>4.1899999999999551</v>
      </c>
      <c r="C424" s="20">
        <f t="shared" si="102"/>
        <v>19.986497548713491</v>
      </c>
      <c r="D424" s="20">
        <f t="shared" si="105"/>
        <v>8.5804542442624407E-2</v>
      </c>
      <c r="E424" s="20">
        <f t="shared" si="106"/>
        <v>1.8681589906950666</v>
      </c>
      <c r="F424" s="20">
        <f t="shared" si="107"/>
        <v>7.2075815651804501E-2</v>
      </c>
      <c r="G424" s="20">
        <f t="shared" si="108"/>
        <v>1.569253552183856</v>
      </c>
      <c r="I424" s="20">
        <f t="shared" si="103"/>
        <v>0.18407977366084324</v>
      </c>
      <c r="K424" s="20">
        <f t="shared" si="113"/>
        <v>19.64882780854888</v>
      </c>
      <c r="L424" s="20">
        <f t="shared" si="104"/>
        <v>-9.7547780411155915E-2</v>
      </c>
      <c r="M424" s="20">
        <f t="shared" si="109"/>
        <v>-2.1238358460952735</v>
      </c>
      <c r="N424" s="1">
        <f t="shared" si="114"/>
        <v>141.38863042952181</v>
      </c>
      <c r="P424" s="20">
        <f t="shared" si="115"/>
        <v>3.6583671241042315</v>
      </c>
      <c r="Q424" s="20">
        <f t="shared" si="110"/>
        <v>-0.39542102676926233</v>
      </c>
      <c r="R424" s="20">
        <f t="shared" si="111"/>
        <v>-8.6092102497117864</v>
      </c>
      <c r="S424" s="20">
        <f t="shared" si="116"/>
        <v>94.687265380110134</v>
      </c>
      <c r="T424" s="1">
        <f t="shared" si="117"/>
        <v>0</v>
      </c>
    </row>
    <row r="425" spans="1:20" x14ac:dyDescent="0.25">
      <c r="A425" s="20">
        <f t="shared" si="112"/>
        <v>4.1999999999999549</v>
      </c>
      <c r="C425" s="20">
        <f t="shared" si="102"/>
        <v>19.950022968688558</v>
      </c>
      <c r="D425" s="20">
        <f t="shared" si="105"/>
        <v>8.5491648313387819E-2</v>
      </c>
      <c r="E425" s="20">
        <f t="shared" si="106"/>
        <v>1.8613465776918752</v>
      </c>
      <c r="F425" s="20">
        <f t="shared" si="107"/>
        <v>7.1812984583245781E-2</v>
      </c>
      <c r="G425" s="20">
        <f t="shared" si="108"/>
        <v>1.5635311252611754</v>
      </c>
      <c r="I425" s="20">
        <f t="shared" si="103"/>
        <v>0.18003214443849899</v>
      </c>
      <c r="K425" s="20">
        <f t="shared" si="113"/>
        <v>19.627589450087928</v>
      </c>
      <c r="L425" s="20">
        <f t="shared" si="104"/>
        <v>-9.6968846030728792E-2</v>
      </c>
      <c r="M425" s="20">
        <f t="shared" si="109"/>
        <v>-2.1112311350038926</v>
      </c>
      <c r="N425" s="1">
        <f t="shared" si="114"/>
        <v>141.58501251581501</v>
      </c>
      <c r="P425" s="20">
        <f t="shared" si="115"/>
        <v>3.5722750216071137</v>
      </c>
      <c r="Q425" s="20">
        <f t="shared" si="110"/>
        <v>-0.39522919836701387</v>
      </c>
      <c r="R425" s="20">
        <f t="shared" si="111"/>
        <v>-8.6050337114525117</v>
      </c>
      <c r="S425" s="20">
        <f t="shared" si="116"/>
        <v>94.723418590838691</v>
      </c>
      <c r="T425" s="1">
        <f t="shared" si="117"/>
        <v>0</v>
      </c>
    </row>
    <row r="426" spans="1:20" x14ac:dyDescent="0.25">
      <c r="A426" s="20">
        <f t="shared" si="112"/>
        <v>4.2099999999999547</v>
      </c>
      <c r="C426" s="20">
        <f t="shared" si="102"/>
        <v>19.914007842285717</v>
      </c>
      <c r="D426" s="20">
        <f t="shared" si="105"/>
        <v>8.5183256355866044E-2</v>
      </c>
      <c r="E426" s="20">
        <f t="shared" si="106"/>
        <v>1.8546321871514488</v>
      </c>
      <c r="F426" s="20">
        <f t="shared" si="107"/>
        <v>7.1553935338927482E-2</v>
      </c>
      <c r="G426" s="20">
        <f t="shared" si="108"/>
        <v>1.5578910372072172</v>
      </c>
      <c r="I426" s="20">
        <f t="shared" si="103"/>
        <v>0.17597071122986324</v>
      </c>
      <c r="K426" s="20">
        <f t="shared" si="113"/>
        <v>19.60647713873789</v>
      </c>
      <c r="L426" s="20">
        <f t="shared" si="104"/>
        <v>-9.639429085287346E-2</v>
      </c>
      <c r="M426" s="20">
        <f t="shared" si="109"/>
        <v>-2.0987217690588604</v>
      </c>
      <c r="N426" s="1">
        <f t="shared" si="114"/>
        <v>141.78118284875913</v>
      </c>
      <c r="P426" s="20">
        <f t="shared" si="115"/>
        <v>3.4862246844925888</v>
      </c>
      <c r="Q426" s="20">
        <f t="shared" si="110"/>
        <v>-0.39503688386744562</v>
      </c>
      <c r="R426" s="20">
        <f t="shared" si="111"/>
        <v>-8.6008465897549673</v>
      </c>
      <c r="S426" s="20">
        <f t="shared" si="116"/>
        <v>94.758711089369186</v>
      </c>
      <c r="T426" s="1">
        <f t="shared" si="117"/>
        <v>0</v>
      </c>
    </row>
    <row r="427" spans="1:20" x14ac:dyDescent="0.25">
      <c r="A427" s="20">
        <f t="shared" si="112"/>
        <v>4.2199999999999545</v>
      </c>
      <c r="C427" s="20">
        <f t="shared" si="102"/>
        <v>19.878452801479348</v>
      </c>
      <c r="D427" s="20">
        <f t="shared" si="105"/>
        <v>8.4879350640752582E-2</v>
      </c>
      <c r="E427" s="20">
        <f t="shared" si="106"/>
        <v>1.8480154722567512</v>
      </c>
      <c r="F427" s="20">
        <f t="shared" si="107"/>
        <v>7.129865453823217E-2</v>
      </c>
      <c r="G427" s="20">
        <f t="shared" si="108"/>
        <v>1.5523329966956712</v>
      </c>
      <c r="I427" s="20">
        <f t="shared" si="103"/>
        <v>0.17189562737701539</v>
      </c>
      <c r="K427" s="20">
        <f t="shared" si="113"/>
        <v>19.585489921047301</v>
      </c>
      <c r="L427" s="20">
        <f t="shared" si="104"/>
        <v>-9.5824082841228175E-2</v>
      </c>
      <c r="M427" s="20">
        <f t="shared" si="109"/>
        <v>-2.086307050756111</v>
      </c>
      <c r="N427" s="1">
        <f t="shared" si="114"/>
        <v>141.97714268405804</v>
      </c>
      <c r="P427" s="20">
        <f t="shared" si="115"/>
        <v>3.4002162185950393</v>
      </c>
      <c r="Q427" s="20">
        <f t="shared" si="110"/>
        <v>-0.39484406663190635</v>
      </c>
      <c r="R427" s="20">
        <f t="shared" si="111"/>
        <v>-8.5966485223580751</v>
      </c>
      <c r="S427" s="20">
        <f t="shared" si="116"/>
        <v>94.793143293884626</v>
      </c>
      <c r="T427" s="1">
        <f t="shared" si="117"/>
        <v>0</v>
      </c>
    </row>
    <row r="428" spans="1:20" x14ac:dyDescent="0.25">
      <c r="A428" s="20">
        <f t="shared" si="112"/>
        <v>4.2299999999999542</v>
      </c>
      <c r="C428" s="20">
        <f t="shared" si="102"/>
        <v>19.843358463123455</v>
      </c>
      <c r="D428" s="20">
        <f t="shared" si="105"/>
        <v>8.4579915343794498E-2</v>
      </c>
      <c r="E428" s="20">
        <f t="shared" si="106"/>
        <v>1.8414960884779992</v>
      </c>
      <c r="F428" s="20">
        <f t="shared" si="107"/>
        <v>7.1047128888787378E-2</v>
      </c>
      <c r="G428" s="20">
        <f t="shared" si="108"/>
        <v>1.5468567143215193</v>
      </c>
      <c r="I428" s="20">
        <f t="shared" si="103"/>
        <v>0.16780704898279461</v>
      </c>
      <c r="K428" s="20">
        <f t="shared" si="113"/>
        <v>19.564626850539739</v>
      </c>
      <c r="L428" s="20">
        <f t="shared" si="104"/>
        <v>-9.5258190000490281E-2</v>
      </c>
      <c r="M428" s="20">
        <f t="shared" si="109"/>
        <v>-2.0739862834855276</v>
      </c>
      <c r="N428" s="1">
        <f t="shared" si="114"/>
        <v>142.17289326791598</v>
      </c>
      <c r="P428" s="20">
        <f t="shared" si="115"/>
        <v>3.3142497333714585</v>
      </c>
      <c r="Q428" s="20">
        <f t="shared" si="110"/>
        <v>-0.39465072995235373</v>
      </c>
      <c r="R428" s="20">
        <f t="shared" si="111"/>
        <v>-8.5924391454899567</v>
      </c>
      <c r="S428" s="20">
        <f t="shared" si="116"/>
        <v>94.826715623644461</v>
      </c>
      <c r="T428" s="1">
        <f t="shared" si="117"/>
        <v>0</v>
      </c>
    </row>
    <row r="429" spans="1:20" x14ac:dyDescent="0.25">
      <c r="A429" s="20">
        <f t="shared" si="112"/>
        <v>4.239999999999954</v>
      </c>
      <c r="C429" s="20">
        <f t="shared" ref="C429:C492" si="118">SQRT((K429^2)+(P429^2))</f>
        <v>19.808725428493396</v>
      </c>
      <c r="D429" s="20">
        <f t="shared" si="105"/>
        <v>8.4284934744267404E-2</v>
      </c>
      <c r="E429" s="20">
        <f t="shared" si="106"/>
        <v>1.8350736935394603</v>
      </c>
      <c r="F429" s="20">
        <f t="shared" si="107"/>
        <v>7.0799345185184631E-2</v>
      </c>
      <c r="G429" s="20">
        <f t="shared" si="108"/>
        <v>1.5414619025731469</v>
      </c>
      <c r="I429" s="20">
        <f t="shared" ref="I429:I492" si="119">ATAN(P429/K429)</f>
        <v>0.16370513490082619</v>
      </c>
      <c r="K429" s="20">
        <f t="shared" si="113"/>
        <v>19.543886987704884</v>
      </c>
      <c r="L429" s="20">
        <f t="shared" ref="L429:L492" si="120">-(D429*COS(I429))-(F429*SIN(I429))</f>
        <v>-9.4696580374739575E-2</v>
      </c>
      <c r="M429" s="20">
        <f t="shared" si="109"/>
        <v>-2.0617587714944388</v>
      </c>
      <c r="N429" s="1">
        <f t="shared" si="114"/>
        <v>142.3684358371072</v>
      </c>
      <c r="P429" s="20">
        <f t="shared" si="115"/>
        <v>3.228325341916559</v>
      </c>
      <c r="Q429" s="20">
        <f t="shared" si="110"/>
        <v>-0.39445685705475597</v>
      </c>
      <c r="R429" s="20">
        <f t="shared" si="111"/>
        <v>-8.5882180939419985</v>
      </c>
      <c r="S429" s="20">
        <f t="shared" si="116"/>
        <v>94.859428499020893</v>
      </c>
      <c r="T429" s="1">
        <f t="shared" si="117"/>
        <v>0</v>
      </c>
    </row>
    <row r="430" spans="1:20" x14ac:dyDescent="0.25">
      <c r="A430" s="20">
        <f t="shared" si="112"/>
        <v>4.2499999999999538</v>
      </c>
      <c r="C430" s="20">
        <f t="shared" si="118"/>
        <v>19.774554282829122</v>
      </c>
      <c r="D430" s="20">
        <f t="shared" si="105"/>
        <v>8.3994393223460362E-2</v>
      </c>
      <c r="E430" s="20">
        <f t="shared" si="106"/>
        <v>1.8287479473864656</v>
      </c>
      <c r="F430" s="20">
        <f t="shared" si="107"/>
        <v>7.0555290307706714E-2</v>
      </c>
      <c r="G430" s="20">
        <f t="shared" si="108"/>
        <v>1.5361482758046312</v>
      </c>
      <c r="I430" s="20">
        <f t="shared" si="119"/>
        <v>0.15959004672416241</v>
      </c>
      <c r="K430" s="20">
        <f t="shared" si="113"/>
        <v>19.523269399989939</v>
      </c>
      <c r="L430" s="20">
        <f t="shared" si="120"/>
        <v>-9.4139222045827295E-2</v>
      </c>
      <c r="M430" s="20">
        <f t="shared" si="109"/>
        <v>-2.0496238198525432</v>
      </c>
      <c r="N430" s="1">
        <f t="shared" si="114"/>
        <v>142.56377161904567</v>
      </c>
      <c r="P430" s="20">
        <f t="shared" si="115"/>
        <v>3.1424431609771388</v>
      </c>
      <c r="Q430" s="20">
        <f t="shared" si="110"/>
        <v>-0.39426243110252623</v>
      </c>
      <c r="R430" s="20">
        <f t="shared" si="111"/>
        <v>-8.5839850011436152</v>
      </c>
      <c r="S430" s="20">
        <f t="shared" si="116"/>
        <v>94.891282341535359</v>
      </c>
      <c r="T430" s="1">
        <f t="shared" si="117"/>
        <v>0</v>
      </c>
    </row>
    <row r="431" spans="1:20" x14ac:dyDescent="0.25">
      <c r="A431" s="20">
        <f t="shared" si="112"/>
        <v>4.2599999999999536</v>
      </c>
      <c r="C431" s="20">
        <f t="shared" si="118"/>
        <v>19.74084559488012</v>
      </c>
      <c r="D431" s="20">
        <f t="shared" si="105"/>
        <v>8.3708275263170095E-2</v>
      </c>
      <c r="E431" s="20">
        <f t="shared" si="106"/>
        <v>1.8225185121526257</v>
      </c>
      <c r="F431" s="20">
        <f t="shared" si="107"/>
        <v>7.0314951221062877E-2</v>
      </c>
      <c r="G431" s="20">
        <f t="shared" si="108"/>
        <v>1.5309155502082055</v>
      </c>
      <c r="I431" s="20">
        <f t="shared" si="119"/>
        <v>0.1554619487725252</v>
      </c>
      <c r="K431" s="20">
        <f t="shared" si="113"/>
        <v>19.502773161791414</v>
      </c>
      <c r="L431" s="20">
        <f t="shared" si="120"/>
        <v>-9.3586083131831171E-2</v>
      </c>
      <c r="M431" s="20">
        <f t="shared" si="109"/>
        <v>-2.0375807344182708</v>
      </c>
      <c r="N431" s="1">
        <f t="shared" si="114"/>
        <v>142.75890183185459</v>
      </c>
      <c r="P431" s="20">
        <f t="shared" si="115"/>
        <v>3.0566033109657025</v>
      </c>
      <c r="Q431" s="20">
        <f t="shared" si="110"/>
        <v>-0.39406743519998932</v>
      </c>
      <c r="R431" s="20">
        <f t="shared" si="111"/>
        <v>-8.5797394992377392</v>
      </c>
      <c r="S431" s="20">
        <f t="shared" si="116"/>
        <v>94.922277573895073</v>
      </c>
      <c r="T431" s="1">
        <f t="shared" si="117"/>
        <v>0</v>
      </c>
    </row>
    <row r="432" spans="1:20" x14ac:dyDescent="0.25">
      <c r="A432" s="20">
        <f t="shared" si="112"/>
        <v>4.2699999999999534</v>
      </c>
      <c r="C432" s="20">
        <f t="shared" si="118"/>
        <v>19.707599916452399</v>
      </c>
      <c r="D432" s="20">
        <f t="shared" si="105"/>
        <v>8.3426565444205181E-2</v>
      </c>
      <c r="E432" s="20">
        <f t="shared" si="106"/>
        <v>1.8163850521272629</v>
      </c>
      <c r="F432" s="20">
        <f t="shared" si="107"/>
        <v>7.0078314973132355E-2</v>
      </c>
      <c r="G432" s="20">
        <f t="shared" si="108"/>
        <v>1.525763443786901</v>
      </c>
      <c r="I432" s="20">
        <f t="shared" si="119"/>
        <v>0.15132100807813709</v>
      </c>
      <c r="K432" s="20">
        <f t="shared" si="113"/>
        <v>19.48239735444723</v>
      </c>
      <c r="L432" s="20">
        <f t="shared" si="120"/>
        <v>-9.3037131785577876E-2</v>
      </c>
      <c r="M432" s="20">
        <f t="shared" si="109"/>
        <v>-2.0256288218066163</v>
      </c>
      <c r="N432" s="1">
        <f t="shared" si="114"/>
        <v>142.95382768443579</v>
      </c>
      <c r="P432" s="20">
        <f t="shared" si="115"/>
        <v>2.9708059159733251</v>
      </c>
      <c r="Q432" s="20">
        <f t="shared" si="110"/>
        <v>-0.39387185239587963</v>
      </c>
      <c r="R432" s="20">
        <f t="shared" si="111"/>
        <v>-8.5754812191569698</v>
      </c>
      <c r="S432" s="20">
        <f t="shared" si="116"/>
        <v>94.952414620029757</v>
      </c>
      <c r="T432" s="1">
        <f t="shared" si="117"/>
        <v>0</v>
      </c>
    </row>
    <row r="433" spans="1:20" x14ac:dyDescent="0.25">
      <c r="A433" s="20">
        <f t="shared" si="112"/>
        <v>4.2799999999999532</v>
      </c>
      <c r="C433" s="20">
        <f t="shared" si="118"/>
        <v>19.674817781957625</v>
      </c>
      <c r="D433" s="20">
        <f t="shared" si="105"/>
        <v>8.3149248444899002E-2</v>
      </c>
      <c r="E433" s="20">
        <f t="shared" si="106"/>
        <v>1.8103472337230351</v>
      </c>
      <c r="F433" s="20">
        <f t="shared" si="107"/>
        <v>6.9845368693715174E-2</v>
      </c>
      <c r="G433" s="20">
        <f t="shared" si="108"/>
        <v>1.5206916763273497</v>
      </c>
      <c r="I433" s="20">
        <f t="shared" si="119"/>
        <v>0.14716739437012896</v>
      </c>
      <c r="K433" s="20">
        <f t="shared" si="113"/>
        <v>19.462141066229162</v>
      </c>
      <c r="L433" s="20">
        <f t="shared" si="120"/>
        <v>-9.2492336193232161E-2</v>
      </c>
      <c r="M433" s="20">
        <f t="shared" si="109"/>
        <v>-2.0137673893584185</v>
      </c>
      <c r="N433" s="1">
        <f t="shared" si="114"/>
        <v>143.14855037653916</v>
      </c>
      <c r="P433" s="20">
        <f t="shared" si="115"/>
        <v>2.8850511037817554</v>
      </c>
      <c r="Q433" s="20">
        <f t="shared" si="110"/>
        <v>-0.39367566568687007</v>
      </c>
      <c r="R433" s="20">
        <f t="shared" si="111"/>
        <v>-8.571209790700415</v>
      </c>
      <c r="S433" s="20">
        <f t="shared" si="116"/>
        <v>94.981693905128523</v>
      </c>
      <c r="T433" s="1">
        <f t="shared" si="117"/>
        <v>0</v>
      </c>
    </row>
    <row r="434" spans="1:20" x14ac:dyDescent="0.25">
      <c r="A434" s="20">
        <f t="shared" si="112"/>
        <v>4.289999999999953</v>
      </c>
      <c r="C434" s="20">
        <f t="shared" si="118"/>
        <v>19.64249970796487</v>
      </c>
      <c r="D434" s="20">
        <f t="shared" si="105"/>
        <v>8.2876309039632917E-2</v>
      </c>
      <c r="E434" s="20">
        <f t="shared" si="106"/>
        <v>1.8044047254437823</v>
      </c>
      <c r="F434" s="20">
        <f t="shared" si="107"/>
        <v>6.9616099593291653E-2</v>
      </c>
      <c r="G434" s="20">
        <f t="shared" si="108"/>
        <v>1.5156999693727771</v>
      </c>
      <c r="I434" s="20">
        <f t="shared" si="119"/>
        <v>0.14300128005751428</v>
      </c>
      <c r="K434" s="20">
        <f t="shared" si="113"/>
        <v>19.442003392335579</v>
      </c>
      <c r="L434" s="20">
        <f t="shared" si="120"/>
        <v>-9.1951664572955283E-2</v>
      </c>
      <c r="M434" s="20">
        <f t="shared" si="109"/>
        <v>-2.0019957451111536</v>
      </c>
      <c r="N434" s="1">
        <f t="shared" si="114"/>
        <v>143.34307109883198</v>
      </c>
      <c r="P434" s="20">
        <f t="shared" si="115"/>
        <v>2.7993390058747512</v>
      </c>
      <c r="Q434" s="20">
        <f t="shared" si="110"/>
        <v>-0.39347885802112992</v>
      </c>
      <c r="R434" s="20">
        <f t="shared" si="111"/>
        <v>-8.5669248426111455</v>
      </c>
      <c r="S434" s="20">
        <f t="shared" si="116"/>
        <v>95.010115855676801</v>
      </c>
      <c r="T434" s="1">
        <f t="shared" si="117"/>
        <v>0</v>
      </c>
    </row>
    <row r="435" spans="1:20" x14ac:dyDescent="0.25">
      <c r="A435" s="20">
        <f t="shared" si="112"/>
        <v>4.2999999999999527</v>
      </c>
      <c r="C435" s="20">
        <f t="shared" si="118"/>
        <v>19.610646192755045</v>
      </c>
      <c r="D435" s="20">
        <f t="shared" si="105"/>
        <v>8.2607732097368047E-2</v>
      </c>
      <c r="E435" s="20">
        <f t="shared" si="106"/>
        <v>1.7985571978525594</v>
      </c>
      <c r="F435" s="20">
        <f t="shared" si="107"/>
        <v>6.9390494961789159E-2</v>
      </c>
      <c r="G435" s="20">
        <f t="shared" si="108"/>
        <v>1.5107880461961498</v>
      </c>
      <c r="I435" s="20">
        <f t="shared" si="119"/>
        <v>0.13882284021072022</v>
      </c>
      <c r="K435" s="20">
        <f t="shared" si="113"/>
        <v>19.421983434884467</v>
      </c>
      <c r="L435" s="20">
        <f t="shared" si="120"/>
        <v>-9.1415085173631547E-2</v>
      </c>
      <c r="M435" s="20">
        <f t="shared" si="109"/>
        <v>-1.9903131977712072</v>
      </c>
      <c r="N435" s="1">
        <f t="shared" si="114"/>
        <v>143.53739103296809</v>
      </c>
      <c r="P435" s="20">
        <f t="shared" si="115"/>
        <v>2.7136697574486397</v>
      </c>
      <c r="Q435" s="20">
        <f t="shared" si="110"/>
        <v>-0.39328141230191216</v>
      </c>
      <c r="R435" s="20">
        <f t="shared" si="111"/>
        <v>-8.5626260026543033</v>
      </c>
      <c r="S435" s="20">
        <f t="shared" si="116"/>
        <v>95.037680899493424</v>
      </c>
      <c r="T435" s="1">
        <f t="shared" si="117"/>
        <v>0</v>
      </c>
    </row>
    <row r="436" spans="1:20" x14ac:dyDescent="0.25">
      <c r="A436" s="20">
        <f t="shared" si="112"/>
        <v>4.3099999999999525</v>
      </c>
      <c r="C436" s="20">
        <f t="shared" si="118"/>
        <v>19.579257715878423</v>
      </c>
      <c r="D436" s="20">
        <f t="shared" si="105"/>
        <v>8.2343502580187064E-2</v>
      </c>
      <c r="E436" s="20">
        <f t="shared" si="106"/>
        <v>1.7928043235398883</v>
      </c>
      <c r="F436" s="20">
        <f t="shared" si="107"/>
        <v>6.9168542167357128E-2</v>
      </c>
      <c r="G436" s="20">
        <f t="shared" si="108"/>
        <v>1.5059556317735059</v>
      </c>
      <c r="I436" s="20">
        <f t="shared" si="119"/>
        <v>0.13463225254166777</v>
      </c>
      <c r="K436" s="20">
        <f t="shared" si="113"/>
        <v>19.402080302906754</v>
      </c>
      <c r="L436" s="20">
        <f t="shared" si="120"/>
        <v>-9.0882566273665005E-2</v>
      </c>
      <c r="M436" s="20">
        <f t="shared" si="109"/>
        <v>-1.9787190566876771</v>
      </c>
      <c r="N436" s="1">
        <f t="shared" si="114"/>
        <v>143.73151135165705</v>
      </c>
      <c r="P436" s="20">
        <f t="shared" si="115"/>
        <v>2.6280434974220968</v>
      </c>
      <c r="Q436" s="20">
        <f t="shared" si="110"/>
        <v>-0.39308331139116814</v>
      </c>
      <c r="R436" s="20">
        <f t="shared" si="111"/>
        <v>-8.5583128976958012</v>
      </c>
      <c r="S436" s="20">
        <f t="shared" si="116"/>
        <v>95.064389465767789</v>
      </c>
      <c r="T436" s="1">
        <f t="shared" si="117"/>
        <v>0</v>
      </c>
    </row>
    <row r="437" spans="1:20" x14ac:dyDescent="0.25">
      <c r="A437" s="20">
        <f t="shared" si="112"/>
        <v>4.3199999999999523</v>
      </c>
      <c r="C437" s="20">
        <f t="shared" si="118"/>
        <v>19.548334737715436</v>
      </c>
      <c r="D437" s="20">
        <f t="shared" si="105"/>
        <v>8.2083605541844712E-2</v>
      </c>
      <c r="E437" s="20">
        <f t="shared" si="106"/>
        <v>1.7871457770921992</v>
      </c>
      <c r="F437" s="20">
        <f t="shared" si="107"/>
        <v>6.8950228655149562E-2</v>
      </c>
      <c r="G437" s="20">
        <f t="shared" si="108"/>
        <v>1.5012024527574475</v>
      </c>
      <c r="I437" s="20">
        <f t="shared" si="119"/>
        <v>0.13042969738239379</v>
      </c>
      <c r="K437" s="20">
        <f t="shared" si="113"/>
        <v>19.382293112339877</v>
      </c>
      <c r="L437" s="20">
        <f t="shared" si="120"/>
        <v>-9.0354076179845894E-2</v>
      </c>
      <c r="M437" s="20">
        <f t="shared" si="109"/>
        <v>-1.9672126318276921</v>
      </c>
      <c r="N437" s="1">
        <f t="shared" si="114"/>
        <v>143.9254332187333</v>
      </c>
      <c r="P437" s="20">
        <f t="shared" si="115"/>
        <v>2.5424603684451386</v>
      </c>
      <c r="Q437" s="20">
        <f t="shared" si="110"/>
        <v>-0.39288453811318902</v>
      </c>
      <c r="R437" s="20">
        <f t="shared" si="111"/>
        <v>-8.5539851537816034</v>
      </c>
      <c r="S437" s="20">
        <f t="shared" si="116"/>
        <v>95.090241985097123</v>
      </c>
      <c r="T437" s="1">
        <f t="shared" si="117"/>
        <v>0</v>
      </c>
    </row>
    <row r="438" spans="1:20" x14ac:dyDescent="0.25">
      <c r="A438" s="20">
        <f t="shared" si="112"/>
        <v>4.3299999999999521</v>
      </c>
      <c r="C438" s="20">
        <f t="shared" si="118"/>
        <v>19.517877699041058</v>
      </c>
      <c r="D438" s="20">
        <f t="shared" si="105"/>
        <v>8.1828026126328043E-2</v>
      </c>
      <c r="E438" s="20">
        <f t="shared" si="106"/>
        <v>1.7815812350604843</v>
      </c>
      <c r="F438" s="20">
        <f t="shared" si="107"/>
        <v>6.8735541946115558E-2</v>
      </c>
      <c r="G438" s="20">
        <f t="shared" si="108"/>
        <v>1.4965282374508069</v>
      </c>
      <c r="I438" s="20">
        <f t="shared" si="119"/>
        <v>0.12621535766220998</v>
      </c>
      <c r="K438" s="20">
        <f t="shared" si="113"/>
        <v>19.3626209860216</v>
      </c>
      <c r="L438" s="20">
        <f t="shared" si="120"/>
        <v>-8.9829583226287951E-2</v>
      </c>
      <c r="M438" s="20">
        <f t="shared" si="109"/>
        <v>-1.9557932337532757</v>
      </c>
      <c r="N438" s="1">
        <f t="shared" si="114"/>
        <v>144.11915778922511</v>
      </c>
      <c r="P438" s="20">
        <f t="shared" si="115"/>
        <v>2.4569205169073225</v>
      </c>
      <c r="Q438" s="20">
        <f t="shared" si="110"/>
        <v>-0.39268507525827345</v>
      </c>
      <c r="R438" s="20">
        <f t="shared" si="111"/>
        <v>-8.54964239621758</v>
      </c>
      <c r="S438" s="20">
        <f t="shared" si="116"/>
        <v>95.115238889523894</v>
      </c>
      <c r="T438" s="1">
        <f t="shared" si="117"/>
        <v>0</v>
      </c>
    </row>
    <row r="439" spans="1:20" x14ac:dyDescent="0.25">
      <c r="A439" s="20">
        <f t="shared" si="112"/>
        <v>4.3399999999999519</v>
      </c>
      <c r="C439" s="20">
        <f t="shared" si="118"/>
        <v>19.487887020593028</v>
      </c>
      <c r="D439" s="20">
        <f t="shared" si="105"/>
        <v>8.1576749566425508E-2</v>
      </c>
      <c r="E439" s="20">
        <f t="shared" si="106"/>
        <v>1.7761103759291423</v>
      </c>
      <c r="F439" s="20">
        <f t="shared" si="107"/>
        <v>6.8524469635797433E-2</v>
      </c>
      <c r="G439" s="20">
        <f t="shared" si="108"/>
        <v>1.4919327157804798</v>
      </c>
      <c r="I439" s="20">
        <f t="shared" si="119"/>
        <v>0.12198941888339387</v>
      </c>
      <c r="K439" s="20">
        <f t="shared" si="113"/>
        <v>19.343063053684066</v>
      </c>
      <c r="L439" s="20">
        <f t="shared" si="120"/>
        <v>-8.9309055773436966E-2</v>
      </c>
      <c r="M439" s="20">
        <f t="shared" si="109"/>
        <v>-1.9444601735997598</v>
      </c>
      <c r="N439" s="1">
        <f t="shared" si="114"/>
        <v>144.31268620942365</v>
      </c>
      <c r="P439" s="20">
        <f t="shared" si="115"/>
        <v>2.3714240929451469</v>
      </c>
      <c r="Q439" s="20">
        <f t="shared" si="110"/>
        <v>-0.39248490558641896</v>
      </c>
      <c r="R439" s="20">
        <f t="shared" si="111"/>
        <v>-8.54528424964988</v>
      </c>
      <c r="S439" s="20">
        <f t="shared" si="116"/>
        <v>95.139380612573163</v>
      </c>
      <c r="T439" s="1">
        <f t="shared" si="117"/>
        <v>0</v>
      </c>
    </row>
    <row r="440" spans="1:20" x14ac:dyDescent="0.25">
      <c r="A440" s="20">
        <f t="shared" si="112"/>
        <v>4.3499999999999517</v>
      </c>
      <c r="C440" s="20">
        <f t="shared" si="118"/>
        <v>19.45836310264421</v>
      </c>
      <c r="D440" s="20">
        <f t="shared" si="105"/>
        <v>8.1329761182305685E-2</v>
      </c>
      <c r="E440" s="20">
        <f t="shared" si="106"/>
        <v>1.7707328800850357</v>
      </c>
      <c r="F440" s="20">
        <f t="shared" si="107"/>
        <v>6.8316999393136776E-2</v>
      </c>
      <c r="G440" s="20">
        <f t="shared" si="108"/>
        <v>1.4874156192714301</v>
      </c>
      <c r="I440" s="20">
        <f t="shared" si="119"/>
        <v>0.11775206909540964</v>
      </c>
      <c r="K440" s="20">
        <f t="shared" si="113"/>
        <v>19.323618451948068</v>
      </c>
      <c r="L440" s="20">
        <f t="shared" si="120"/>
        <v>-8.8792462207151146E-2</v>
      </c>
      <c r="M440" s="20">
        <f t="shared" si="109"/>
        <v>-1.9332127630557621</v>
      </c>
      <c r="N440" s="1">
        <f t="shared" si="114"/>
        <v>144.50601961695182</v>
      </c>
      <c r="P440" s="20">
        <f t="shared" si="115"/>
        <v>2.285971250448648</v>
      </c>
      <c r="Q440" s="20">
        <f t="shared" si="110"/>
        <v>-0.39228401183103739</v>
      </c>
      <c r="R440" s="20">
        <f t="shared" si="111"/>
        <v>-8.5409103381458173</v>
      </c>
      <c r="S440" s="20">
        <f t="shared" si="116"/>
        <v>95.162667589290137</v>
      </c>
      <c r="T440" s="1">
        <f t="shared" si="117"/>
        <v>0</v>
      </c>
    </row>
    <row r="441" spans="1:20" x14ac:dyDescent="0.25">
      <c r="A441" s="20">
        <f t="shared" si="112"/>
        <v>4.3599999999999515</v>
      </c>
      <c r="C441" s="20">
        <f t="shared" si="118"/>
        <v>19.429306324579294</v>
      </c>
      <c r="D441" s="20">
        <f t="shared" si="105"/>
        <v>8.108704638010468E-2</v>
      </c>
      <c r="E441" s="20">
        <f t="shared" si="106"/>
        <v>1.7654484297867337</v>
      </c>
      <c r="F441" s="20">
        <f t="shared" si="107"/>
        <v>6.8113118959287927E-2</v>
      </c>
      <c r="G441" s="20">
        <f t="shared" si="108"/>
        <v>1.4829766810208562</v>
      </c>
      <c r="I441" s="20">
        <f t="shared" si="119"/>
        <v>0.113503498867657</v>
      </c>
      <c r="K441" s="20">
        <f t="shared" si="113"/>
        <v>19.304286324317509</v>
      </c>
      <c r="L441" s="20">
        <f t="shared" si="120"/>
        <v>-8.8279770937853469E-2</v>
      </c>
      <c r="M441" s="20">
        <f t="shared" si="109"/>
        <v>-1.9220503143447305</v>
      </c>
      <c r="N441" s="1">
        <f t="shared" si="114"/>
        <v>144.69915914083316</v>
      </c>
      <c r="P441" s="20">
        <f t="shared" si="115"/>
        <v>2.2005621470671897</v>
      </c>
      <c r="Q441" s="20">
        <f t="shared" si="110"/>
        <v>-0.3920823767026928</v>
      </c>
      <c r="R441" s="20">
        <f t="shared" si="111"/>
        <v>-8.5365202852752624</v>
      </c>
      <c r="S441" s="20">
        <f t="shared" si="116"/>
        <v>95.185100256277721</v>
      </c>
      <c r="T441" s="1">
        <f t="shared" si="117"/>
        <v>0</v>
      </c>
    </row>
    <row r="442" spans="1:20" x14ac:dyDescent="0.25">
      <c r="A442" s="20">
        <f t="shared" si="112"/>
        <v>4.3699999999999513</v>
      </c>
      <c r="C442" s="20">
        <f t="shared" si="118"/>
        <v>19.400717044476217</v>
      </c>
      <c r="D442" s="20">
        <f t="shared" si="105"/>
        <v>8.0848590650523092E-2</v>
      </c>
      <c r="E442" s="20">
        <f t="shared" si="106"/>
        <v>1.7602567091339667</v>
      </c>
      <c r="F442" s="20">
        <f t="shared" si="107"/>
        <v>6.7912816146439403E-2</v>
      </c>
      <c r="G442" s="20">
        <f t="shared" si="108"/>
        <v>1.4786156356725322</v>
      </c>
      <c r="I442" s="20">
        <f t="shared" si="119"/>
        <v>0.10924390126074793</v>
      </c>
      <c r="K442" s="20">
        <f t="shared" si="113"/>
        <v>19.285065821174062</v>
      </c>
      <c r="L442" s="20">
        <f t="shared" si="120"/>
        <v>-8.7770950399756936E-2</v>
      </c>
      <c r="M442" s="20">
        <f t="shared" si="109"/>
        <v>-1.9109721402080762</v>
      </c>
      <c r="N442" s="1">
        <f t="shared" si="114"/>
        <v>144.8921059015606</v>
      </c>
      <c r="P442" s="20">
        <f t="shared" si="115"/>
        <v>2.1151969442144369</v>
      </c>
      <c r="Q442" s="20">
        <f t="shared" si="110"/>
        <v>-0.39187998289285964</v>
      </c>
      <c r="R442" s="20">
        <f t="shared" si="111"/>
        <v>-8.5321137141924588</v>
      </c>
      <c r="S442" s="20">
        <f t="shared" si="116"/>
        <v>95.206679051734127</v>
      </c>
      <c r="T442" s="1">
        <f t="shared" si="117"/>
        <v>0</v>
      </c>
    </row>
    <row r="443" spans="1:20" x14ac:dyDescent="0.25">
      <c r="A443" s="20">
        <f t="shared" si="112"/>
        <v>4.379999999999951</v>
      </c>
      <c r="C443" s="20">
        <f t="shared" si="118"/>
        <v>19.372595598692484</v>
      </c>
      <c r="D443" s="20">
        <f t="shared" si="105"/>
        <v>8.0614379567431935E-2</v>
      </c>
      <c r="E443" s="20">
        <f t="shared" si="106"/>
        <v>1.7551574040372728</v>
      </c>
      <c r="F443" s="20">
        <f t="shared" si="107"/>
        <v>6.7716078836642823E-2</v>
      </c>
      <c r="G443" s="20">
        <f t="shared" si="108"/>
        <v>1.4743322193913091</v>
      </c>
      <c r="I443" s="20">
        <f t="shared" si="119"/>
        <v>0.10497347179631325</v>
      </c>
      <c r="K443" s="20">
        <f t="shared" si="113"/>
        <v>19.26595609977198</v>
      </c>
      <c r="L443" s="20">
        <f t="shared" si="120"/>
        <v>-8.7265969050162637E-2</v>
      </c>
      <c r="M443" s="20">
        <f t="shared" si="109"/>
        <v>-1.8999775538898898</v>
      </c>
      <c r="N443" s="1">
        <f t="shared" si="114"/>
        <v>145.08486101116532</v>
      </c>
      <c r="P443" s="20">
        <f t="shared" si="115"/>
        <v>2.0298758070725125</v>
      </c>
      <c r="Q443" s="20">
        <f t="shared" si="110"/>
        <v>-0.39167681307770158</v>
      </c>
      <c r="R443" s="20">
        <f t="shared" si="111"/>
        <v>-8.5276902477183008</v>
      </c>
      <c r="S443" s="20">
        <f t="shared" si="116"/>
        <v>95.227404415490568</v>
      </c>
      <c r="T443" s="1">
        <f t="shared" si="117"/>
        <v>0</v>
      </c>
    </row>
    <row r="444" spans="1:20" x14ac:dyDescent="0.25">
      <c r="A444" s="20">
        <f t="shared" si="112"/>
        <v>4.3899999999999508</v>
      </c>
      <c r="C444" s="20">
        <f t="shared" si="118"/>
        <v>19.344942301456708</v>
      </c>
      <c r="D444" s="20">
        <f t="shared" si="105"/>
        <v>8.0384398786487635E-2</v>
      </c>
      <c r="E444" s="20">
        <f t="shared" si="106"/>
        <v>1.7501502021878432</v>
      </c>
      <c r="F444" s="20">
        <f t="shared" si="107"/>
        <v>6.7522894980649617E-2</v>
      </c>
      <c r="G444" s="20">
        <f t="shared" si="108"/>
        <v>1.4701261698377883</v>
      </c>
      <c r="I444" s="20">
        <f t="shared" si="119"/>
        <v>0.10069240842534119</v>
      </c>
      <c r="K444" s="20">
        <f t="shared" si="113"/>
        <v>19.246956324233082</v>
      </c>
      <c r="L444" s="20">
        <f t="shared" si="120"/>
        <v>-8.6764795368831263E-2</v>
      </c>
      <c r="M444" s="20">
        <f t="shared" si="109"/>
        <v>-1.8890658691232585</v>
      </c>
      <c r="N444" s="1">
        <f t="shared" si="114"/>
        <v>145.27742557328534</v>
      </c>
      <c r="P444" s="20">
        <f t="shared" si="115"/>
        <v>1.9445989045953294</v>
      </c>
      <c r="Q444" s="20">
        <f t="shared" si="110"/>
        <v>-0.3914728499218682</v>
      </c>
      <c r="R444" s="20">
        <f t="shared" si="111"/>
        <v>-8.523249508422996</v>
      </c>
      <c r="S444" s="20">
        <f t="shared" si="116"/>
        <v>95.247276789048911</v>
      </c>
      <c r="T444" s="1">
        <f t="shared" si="117"/>
        <v>0</v>
      </c>
    </row>
    <row r="445" spans="1:20" x14ac:dyDescent="0.25">
      <c r="A445" s="20">
        <f t="shared" si="112"/>
        <v>4.3999999999999506</v>
      </c>
      <c r="C445" s="20">
        <f t="shared" si="118"/>
        <v>19.317757444465634</v>
      </c>
      <c r="D445" s="20">
        <f t="shared" si="105"/>
        <v>8.0158634043756324E-2</v>
      </c>
      <c r="E445" s="20">
        <f t="shared" si="106"/>
        <v>1.7452347930275709</v>
      </c>
      <c r="F445" s="20">
        <f t="shared" si="107"/>
        <v>6.7333252596755308E-2</v>
      </c>
      <c r="G445" s="20">
        <f t="shared" si="108"/>
        <v>1.4659972261431593</v>
      </c>
      <c r="I445" s="20">
        <f t="shared" si="119"/>
        <v>9.6400911495052893E-2</v>
      </c>
      <c r="K445" s="20">
        <f t="shared" si="113"/>
        <v>19.228065665541848</v>
      </c>
      <c r="L445" s="20">
        <f t="shared" si="120"/>
        <v>-8.6267397857428471E-2</v>
      </c>
      <c r="M445" s="20">
        <f t="shared" si="109"/>
        <v>-1.8782364001181902</v>
      </c>
      <c r="N445" s="1">
        <f t="shared" si="114"/>
        <v>145.46980068323421</v>
      </c>
      <c r="P445" s="20">
        <f t="shared" si="115"/>
        <v>1.8593664095110993</v>
      </c>
      <c r="Q445" s="20">
        <f t="shared" si="110"/>
        <v>-0.39126807608230918</v>
      </c>
      <c r="R445" s="20">
        <f t="shared" si="111"/>
        <v>-8.518791118709105</v>
      </c>
      <c r="S445" s="20">
        <f t="shared" si="116"/>
        <v>95.266296615619439</v>
      </c>
      <c r="T445" s="1">
        <f t="shared" si="117"/>
        <v>0</v>
      </c>
    </row>
    <row r="446" spans="1:20" x14ac:dyDescent="0.25">
      <c r="A446" s="20">
        <f t="shared" si="112"/>
        <v>4.4099999999999504</v>
      </c>
      <c r="C446" s="20">
        <f t="shared" si="118"/>
        <v>19.291041296486934</v>
      </c>
      <c r="D446" s="20">
        <f t="shared" si="105"/>
        <v>7.9937071154346992E-2</v>
      </c>
      <c r="E446" s="20">
        <f t="shared" si="106"/>
        <v>1.7404108677192902</v>
      </c>
      <c r="F446" s="20">
        <f t="shared" si="107"/>
        <v>6.7147139769651476E-2</v>
      </c>
      <c r="G446" s="20">
        <f t="shared" si="108"/>
        <v>1.4619451288842038</v>
      </c>
      <c r="I446" s="20">
        <f t="shared" si="119"/>
        <v>9.2099183714320215E-2</v>
      </c>
      <c r="K446" s="20">
        <f t="shared" si="113"/>
        <v>19.209283301540665</v>
      </c>
      <c r="L446" s="20">
        <f t="shared" si="120"/>
        <v>-8.5773745039043961E-2</v>
      </c>
      <c r="M446" s="20">
        <f t="shared" si="109"/>
        <v>-1.8674884615511422</v>
      </c>
      <c r="N446" s="1">
        <f t="shared" si="114"/>
        <v>145.66198742806961</v>
      </c>
      <c r="P446" s="20">
        <f t="shared" si="115"/>
        <v>1.7741784983240083</v>
      </c>
      <c r="Q446" s="20">
        <f t="shared" si="110"/>
        <v>-0.39106247421210383</v>
      </c>
      <c r="R446" s="20">
        <f t="shared" si="111"/>
        <v>-8.5143147008949231</v>
      </c>
      <c r="S446" s="20">
        <f t="shared" si="116"/>
        <v>95.284464340158607</v>
      </c>
      <c r="T446" s="1">
        <f t="shared" si="117"/>
        <v>0</v>
      </c>
    </row>
    <row r="447" spans="1:20" x14ac:dyDescent="0.25">
      <c r="A447" s="20">
        <f t="shared" si="112"/>
        <v>4.4199999999999502</v>
      </c>
      <c r="C447" s="20">
        <f t="shared" si="118"/>
        <v>19.264794102968001</v>
      </c>
      <c r="D447" s="20">
        <f t="shared" si="105"/>
        <v>7.971969601105397E-2</v>
      </c>
      <c r="E447" s="20">
        <f t="shared" si="106"/>
        <v>1.7356781191172213</v>
      </c>
      <c r="F447" s="20">
        <f t="shared" si="107"/>
        <v>6.6964544649285335E-2</v>
      </c>
      <c r="G447" s="20">
        <f t="shared" si="108"/>
        <v>1.4579696200584658</v>
      </c>
      <c r="I447" s="20">
        <f t="shared" si="119"/>
        <v>8.7787430117633555E-2</v>
      </c>
      <c r="K447" s="20">
        <f t="shared" si="113"/>
        <v>19.190608416925155</v>
      </c>
      <c r="L447" s="20">
        <f t="shared" si="120"/>
        <v>-8.5283805457784953E-2</v>
      </c>
      <c r="M447" s="20">
        <f t="shared" si="109"/>
        <v>-1.8568213685561714</v>
      </c>
      <c r="N447" s="1">
        <f t="shared" si="114"/>
        <v>145.85398688666194</v>
      </c>
      <c r="P447" s="20">
        <f t="shared" si="115"/>
        <v>1.6890353513150591</v>
      </c>
      <c r="Q447" s="20">
        <f t="shared" si="110"/>
        <v>-0.3908560269643056</v>
      </c>
      <c r="R447" s="20">
        <f t="shared" si="111"/>
        <v>-8.5098198772981846</v>
      </c>
      <c r="S447" s="20">
        <f t="shared" si="116"/>
        <v>95.301780409406803</v>
      </c>
      <c r="T447" s="1">
        <f t="shared" si="117"/>
        <v>0</v>
      </c>
    </row>
    <row r="448" spans="1:20" x14ac:dyDescent="0.25">
      <c r="A448" s="20">
        <f t="shared" si="112"/>
        <v>4.42999999999995</v>
      </c>
      <c r="C448" s="20">
        <f t="shared" si="118"/>
        <v>19.239016085651055</v>
      </c>
      <c r="D448" s="20">
        <f t="shared" si="105"/>
        <v>7.9506494583008153E-2</v>
      </c>
      <c r="E448" s="20">
        <f t="shared" si="106"/>
        <v>1.7310362417376042</v>
      </c>
      <c r="F448" s="20">
        <f t="shared" si="107"/>
        <v>6.6785455449726847E-2</v>
      </c>
      <c r="G448" s="20">
        <f t="shared" si="108"/>
        <v>1.4540704430595874</v>
      </c>
      <c r="I448" s="20">
        <f t="shared" si="119"/>
        <v>8.3465858027628417E-2</v>
      </c>
      <c r="K448" s="20">
        <f t="shared" si="113"/>
        <v>19.172040203239593</v>
      </c>
      <c r="L448" s="20">
        <f t="shared" si="120"/>
        <v>-8.4797547678443871E-2</v>
      </c>
      <c r="M448" s="20">
        <f t="shared" si="109"/>
        <v>-1.8462344367176982</v>
      </c>
      <c r="N448" s="1">
        <f t="shared" si="114"/>
        <v>146.04580012976277</v>
      </c>
      <c r="P448" s="20">
        <f t="shared" si="115"/>
        <v>1.6039371525420774</v>
      </c>
      <c r="Q448" s="20">
        <f t="shared" si="110"/>
        <v>-0.39064871699579884</v>
      </c>
      <c r="R448" s="20">
        <f t="shared" si="111"/>
        <v>-8.5053062703200268</v>
      </c>
      <c r="S448" s="20">
        <f t="shared" si="116"/>
        <v>95.318245271926088</v>
      </c>
      <c r="T448" s="1">
        <f t="shared" si="117"/>
        <v>0</v>
      </c>
    </row>
    <row r="449" spans="1:20" x14ac:dyDescent="0.25">
      <c r="A449" s="20">
        <f t="shared" si="112"/>
        <v>4.4399999999999498</v>
      </c>
      <c r="C449" s="20">
        <f t="shared" si="118"/>
        <v>19.213707442194838</v>
      </c>
      <c r="D449" s="20">
        <f t="shared" si="105"/>
        <v>7.9297452914337749E-2</v>
      </c>
      <c r="E449" s="20">
        <f t="shared" si="106"/>
        <v>1.7264849317295397</v>
      </c>
      <c r="F449" s="20">
        <f t="shared" si="107"/>
        <v>6.660986044804372E-2</v>
      </c>
      <c r="G449" s="20">
        <f t="shared" si="108"/>
        <v>1.4502473426528135</v>
      </c>
      <c r="I449" s="20">
        <f t="shared" si="119"/>
        <v>7.9134677016181015E-2</v>
      </c>
      <c r="K449" s="20">
        <f t="shared" si="113"/>
        <v>19.153577858872417</v>
      </c>
      <c r="L449" s="20">
        <f t="shared" si="120"/>
        <v>-8.4314940286240828E-2</v>
      </c>
      <c r="M449" s="20">
        <f t="shared" si="109"/>
        <v>-1.8357269820648994</v>
      </c>
      <c r="N449" s="1">
        <f t="shared" si="114"/>
        <v>146.23742822007333</v>
      </c>
      <c r="P449" s="20">
        <f t="shared" si="115"/>
        <v>1.5188840898388771</v>
      </c>
      <c r="Q449" s="20">
        <f t="shared" si="110"/>
        <v>-0.39044052697116727</v>
      </c>
      <c r="R449" s="20">
        <f t="shared" si="111"/>
        <v>-8.5007735025292241</v>
      </c>
      <c r="S449" s="20">
        <f t="shared" si="116"/>
        <v>95.333859378138001</v>
      </c>
      <c r="T449" s="1">
        <f t="shared" si="117"/>
        <v>0</v>
      </c>
    </row>
    <row r="450" spans="1:20" x14ac:dyDescent="0.25">
      <c r="A450" s="20">
        <f t="shared" si="112"/>
        <v>4.4499999999999496</v>
      </c>
      <c r="C450" s="20">
        <f t="shared" si="118"/>
        <v>19.188868345803101</v>
      </c>
      <c r="D450" s="20">
        <f t="shared" si="105"/>
        <v>7.9092557122837748E-2</v>
      </c>
      <c r="E450" s="20">
        <f t="shared" si="106"/>
        <v>1.7220238868460211</v>
      </c>
      <c r="F450" s="20">
        <f t="shared" si="107"/>
        <v>6.6437747983183706E-2</v>
      </c>
      <c r="G450" s="20">
        <f t="shared" si="108"/>
        <v>1.4465000649506576</v>
      </c>
      <c r="I450" s="20">
        <f t="shared" si="119"/>
        <v>7.4794098864085237E-2</v>
      </c>
      <c r="K450" s="20">
        <f t="shared" si="113"/>
        <v>19.135220589051769</v>
      </c>
      <c r="L450" s="20">
        <f t="shared" si="120"/>
        <v>-8.3835951886640572E-2</v>
      </c>
      <c r="M450" s="20">
        <f t="shared" si="109"/>
        <v>-1.8252983210677243</v>
      </c>
      <c r="N450" s="1">
        <f t="shared" si="114"/>
        <v>146.42887221231294</v>
      </c>
      <c r="P450" s="20">
        <f t="shared" si="115"/>
        <v>1.4338763548135849</v>
      </c>
      <c r="Q450" s="20">
        <f t="shared" si="110"/>
        <v>-0.3902314395665723</v>
      </c>
      <c r="R450" s="20">
        <f t="shared" si="111"/>
        <v>-8.496221196746621</v>
      </c>
      <c r="S450" s="20">
        <f t="shared" si="116"/>
        <v>95.348623180361258</v>
      </c>
      <c r="T450" s="1">
        <f t="shared" si="117"/>
        <v>0</v>
      </c>
    </row>
    <row r="451" spans="1:20" x14ac:dyDescent="0.25">
      <c r="A451" s="20">
        <f t="shared" si="112"/>
        <v>4.4599999999999493</v>
      </c>
      <c r="C451" s="20">
        <f t="shared" si="118"/>
        <v>19.16449894486021</v>
      </c>
      <c r="D451" s="20">
        <f t="shared" si="105"/>
        <v>7.8891793398648449E-2</v>
      </c>
      <c r="E451" s="20">
        <f t="shared" si="106"/>
        <v>1.7176528064151633</v>
      </c>
      <c r="F451" s="20">
        <f t="shared" si="107"/>
        <v>6.6269106454864696E-2</v>
      </c>
      <c r="G451" s="20">
        <f t="shared" si="108"/>
        <v>1.4428283573887373</v>
      </c>
      <c r="I451" s="20">
        <f t="shared" si="119"/>
        <v>7.0444337519324121E-2</v>
      </c>
      <c r="K451" s="20">
        <f t="shared" si="113"/>
        <v>19.116967605841094</v>
      </c>
      <c r="L451" s="20">
        <f t="shared" si="120"/>
        <v>-8.336055110524393E-2</v>
      </c>
      <c r="M451" s="20">
        <f t="shared" si="109"/>
        <v>-1.8149477706345294</v>
      </c>
      <c r="N451" s="1">
        <f t="shared" si="114"/>
        <v>146.62013315328741</v>
      </c>
      <c r="P451" s="20">
        <f t="shared" si="115"/>
        <v>1.3489141428461187</v>
      </c>
      <c r="Q451" s="20">
        <f t="shared" si="110"/>
        <v>-0.39002143747363971</v>
      </c>
      <c r="R451" s="20">
        <f t="shared" si="111"/>
        <v>-8.4916489761297562</v>
      </c>
      <c r="S451" s="20">
        <f t="shared" si="116"/>
        <v>95.362537132849553</v>
      </c>
      <c r="T451" s="1">
        <f t="shared" si="117"/>
        <v>0</v>
      </c>
    </row>
    <row r="452" spans="1:20" x14ac:dyDescent="0.25">
      <c r="A452" s="20">
        <f t="shared" si="112"/>
        <v>4.4699999999999491</v>
      </c>
      <c r="C452" s="20">
        <f t="shared" si="118"/>
        <v>19.140599362574111</v>
      </c>
      <c r="D452" s="20">
        <f t="shared" si="105"/>
        <v>7.869514800294336E-2</v>
      </c>
      <c r="E452" s="20">
        <f t="shared" si="106"/>
        <v>1.7133713913116342</v>
      </c>
      <c r="F452" s="20">
        <f t="shared" si="107"/>
        <v>6.6103924322472418E-2</v>
      </c>
      <c r="G452" s="20">
        <f t="shared" si="108"/>
        <v>1.4392319687017727</v>
      </c>
      <c r="I452" s="20">
        <f t="shared" si="119"/>
        <v>6.608560905395125E-2</v>
      </c>
      <c r="K452" s="20">
        <f t="shared" si="113"/>
        <v>19.098818128134749</v>
      </c>
      <c r="L452" s="20">
        <f t="shared" si="120"/>
        <v>-8.2888706587754366E-2</v>
      </c>
      <c r="M452" s="20">
        <f t="shared" si="109"/>
        <v>-1.8046746481113514</v>
      </c>
      <c r="N452" s="1">
        <f t="shared" si="114"/>
        <v>146.81121208195731</v>
      </c>
      <c r="P452" s="20">
        <f t="shared" si="115"/>
        <v>1.2639976530848211</v>
      </c>
      <c r="Q452" s="20">
        <f t="shared" si="110"/>
        <v>-0.3898105034033531</v>
      </c>
      <c r="R452" s="20">
        <f t="shared" si="111"/>
        <v>-8.487056464257634</v>
      </c>
      <c r="S452" s="20">
        <f t="shared" si="116"/>
        <v>95.375601691829218</v>
      </c>
      <c r="T452" s="1">
        <f t="shared" si="117"/>
        <v>0</v>
      </c>
    </row>
    <row r="453" spans="1:20" x14ac:dyDescent="0.25">
      <c r="A453" s="20">
        <f t="shared" si="112"/>
        <v>4.4799999999999489</v>
      </c>
      <c r="C453" s="20">
        <f t="shared" si="118"/>
        <v>19.11716969662692</v>
      </c>
      <c r="D453" s="20">
        <f t="shared" ref="D453:D516" si="121">0.5*$W$5*$W$10*$W$9*C453^2</f>
        <v>7.8502607266625959E-2</v>
      </c>
      <c r="E453" s="20">
        <f t="shared" ref="E453:E516" si="122">D453/$W$4</f>
        <v>1.7091793439282814</v>
      </c>
      <c r="F453" s="20">
        <f t="shared" ref="F453:F516" si="123">0.5*$W$6*$W$10*$W$9*C453^2</f>
        <v>6.5942190103965806E-2</v>
      </c>
      <c r="G453" s="20">
        <f t="shared" ref="G453:G516" si="124">F453/$W$4</f>
        <v>1.4357106488997564</v>
      </c>
      <c r="I453" s="20">
        <f t="shared" si="119"/>
        <v>6.1718131619598375E-2</v>
      </c>
      <c r="K453" s="20">
        <f t="shared" si="113"/>
        <v>19.080771381653634</v>
      </c>
      <c r="L453" s="20">
        <f t="shared" si="120"/>
        <v>-8.2420387000018927E-2</v>
      </c>
      <c r="M453" s="20">
        <f t="shared" ref="M453:M516" si="125">L453/$W$4</f>
        <v>-1.7944782712827985</v>
      </c>
      <c r="N453" s="1">
        <f t="shared" si="114"/>
        <v>147.00211002950624</v>
      </c>
      <c r="P453" s="20">
        <f t="shared" si="115"/>
        <v>1.1791270884422449</v>
      </c>
      <c r="Q453" s="20">
        <f t="shared" ref="Q453:Q516" si="126">-(D453*SIN(I453))+(F453*COS(I453))-($W$4*9.81)</f>
        <v>-0.38959862008995216</v>
      </c>
      <c r="R453" s="20">
        <f t="shared" ref="R453:R516" si="127">Q453/$W$4</f>
        <v>-8.4824432852155933</v>
      </c>
      <c r="S453" s="20">
        <f t="shared" si="116"/>
        <v>95.38781731553685</v>
      </c>
      <c r="T453" s="1">
        <f t="shared" si="117"/>
        <v>0</v>
      </c>
    </row>
    <row r="454" spans="1:20" x14ac:dyDescent="0.25">
      <c r="A454" s="20">
        <f t="shared" ref="A454:A517" si="128">A453+$W$18</f>
        <v>4.4899999999999487</v>
      </c>
      <c r="C454" s="20">
        <f t="shared" si="118"/>
        <v>19.094210018833369</v>
      </c>
      <c r="D454" s="20">
        <f t="shared" si="121"/>
        <v>7.8314157589035635E-2</v>
      </c>
      <c r="E454" s="20">
        <f t="shared" si="122"/>
        <v>1.7050763681479564</v>
      </c>
      <c r="F454" s="20">
        <f t="shared" si="123"/>
        <v>6.5783892374789932E-2</v>
      </c>
      <c r="G454" s="20">
        <f t="shared" si="124"/>
        <v>1.4322641492442834</v>
      </c>
      <c r="I454" s="20">
        <f t="shared" si="119"/>
        <v>5.734212540162785E-2</v>
      </c>
      <c r="K454" s="20">
        <f t="shared" ref="K454:K517" si="129">K453+(M453*$W$18)</f>
        <v>19.062826598940806</v>
      </c>
      <c r="L454" s="20">
        <f t="shared" si="120"/>
        <v>-8.1955561028143942E-2</v>
      </c>
      <c r="M454" s="20">
        <f t="shared" si="125"/>
        <v>-1.7843579583745688</v>
      </c>
      <c r="N454" s="1">
        <f t="shared" ref="N454:N517" si="130">N453+(K453*$W$18)+(0.5*M453*$W$18^2)</f>
        <v>147.19282801940921</v>
      </c>
      <c r="P454" s="20">
        <f t="shared" ref="P454:P517" si="131">P453+(R453*$W$18)</f>
        <v>1.094302655590089</v>
      </c>
      <c r="Q454" s="20">
        <f t="shared" si="126"/>
        <v>-0.38938577029483518</v>
      </c>
      <c r="R454" s="20">
        <f t="shared" si="127"/>
        <v>-8.4778090636802776</v>
      </c>
      <c r="S454" s="20">
        <f t="shared" ref="S454:S517" si="132">S453+(P453*$W$18)+(0.5*R453*$W$18^2)</f>
        <v>95.399184464257004</v>
      </c>
      <c r="T454" s="1">
        <f t="shared" si="117"/>
        <v>0</v>
      </c>
    </row>
    <row r="455" spans="1:20" x14ac:dyDescent="0.25">
      <c r="A455" s="20">
        <f t="shared" si="128"/>
        <v>4.4999999999999485</v>
      </c>
      <c r="C455" s="20">
        <f t="shared" si="118"/>
        <v>19.071720374807377</v>
      </c>
      <c r="D455" s="20">
        <f t="shared" si="121"/>
        <v>7.8129785436662547E-2</v>
      </c>
      <c r="E455" s="20">
        <f t="shared" si="122"/>
        <v>1.7010621693155357</v>
      </c>
      <c r="F455" s="20">
        <f t="shared" si="123"/>
        <v>6.562901976679654E-2</v>
      </c>
      <c r="G455" s="20">
        <f t="shared" si="124"/>
        <v>1.42889222222505</v>
      </c>
      <c r="I455" s="20">
        <f t="shared" si="119"/>
        <v>5.2957812571949481E-2</v>
      </c>
      <c r="K455" s="20">
        <f t="shared" si="129"/>
        <v>19.044983019357058</v>
      </c>
      <c r="L455" s="20">
        <f t="shared" si="120"/>
        <v>-8.1494197378684685E-2</v>
      </c>
      <c r="M455" s="20">
        <f t="shared" si="125"/>
        <v>-1.7743130280575807</v>
      </c>
      <c r="N455" s="1">
        <f t="shared" si="130"/>
        <v>147.3833670675007</v>
      </c>
      <c r="P455" s="20">
        <f t="shared" si="131"/>
        <v>1.0095245649532862</v>
      </c>
      <c r="Q455" s="20">
        <f t="shared" si="126"/>
        <v>-0.38917193681046258</v>
      </c>
      <c r="R455" s="20">
        <f t="shared" si="127"/>
        <v>-8.4731534250046288</v>
      </c>
      <c r="S455" s="20">
        <f t="shared" si="132"/>
        <v>95.409703600359734</v>
      </c>
      <c r="T455" s="1">
        <f t="shared" ref="T455:T518" si="133">IF(AND(S454&gt;0,S455&lt;0),(-1*S454*(N455-N454)/(S455-S454)+N454),0)</f>
        <v>0</v>
      </c>
    </row>
    <row r="456" spans="1:20" x14ac:dyDescent="0.25">
      <c r="A456" s="20">
        <f t="shared" si="128"/>
        <v>4.5099999999999483</v>
      </c>
      <c r="C456" s="20">
        <f t="shared" si="118"/>
        <v>19.049700783637011</v>
      </c>
      <c r="D456" s="20">
        <f t="shared" si="121"/>
        <v>7.7949477341871895E-2</v>
      </c>
      <c r="E456" s="20">
        <f t="shared" si="122"/>
        <v>1.6971364542101437</v>
      </c>
      <c r="F456" s="20">
        <f t="shared" si="123"/>
        <v>6.5477560967172402E-2</v>
      </c>
      <c r="G456" s="20">
        <f t="shared" si="124"/>
        <v>1.4255946215365209</v>
      </c>
      <c r="I456" s="20">
        <f t="shared" si="119"/>
        <v>4.8565417240522935E-2</v>
      </c>
      <c r="K456" s="20">
        <f t="shared" si="129"/>
        <v>19.027239889076483</v>
      </c>
      <c r="L456" s="20">
        <f t="shared" si="120"/>
        <v>-8.1036264778909892E-2</v>
      </c>
      <c r="M456" s="20">
        <f t="shared" si="125"/>
        <v>-1.7643427994537317</v>
      </c>
      <c r="N456" s="1">
        <f t="shared" si="130"/>
        <v>147.57372818204286</v>
      </c>
      <c r="P456" s="20">
        <f t="shared" si="131"/>
        <v>0.92479303070323993</v>
      </c>
      <c r="Q456" s="20">
        <f t="shared" si="126"/>
        <v>-0.38895710246426118</v>
      </c>
      <c r="R456" s="20">
        <f t="shared" si="127"/>
        <v>-8.4684759953028781</v>
      </c>
      <c r="S456" s="20">
        <f t="shared" si="132"/>
        <v>95.419375188338023</v>
      </c>
      <c r="T456" s="1">
        <f t="shared" si="133"/>
        <v>0</v>
      </c>
    </row>
    <row r="457" spans="1:20" x14ac:dyDescent="0.25">
      <c r="A457" s="20">
        <f t="shared" si="128"/>
        <v>4.5199999999999481</v>
      </c>
      <c r="C457" s="20">
        <f t="shared" si="118"/>
        <v>19.028151237568039</v>
      </c>
      <c r="D457" s="20">
        <f t="shared" si="121"/>
        <v>7.7773219901637061E-2</v>
      </c>
      <c r="E457" s="20">
        <f t="shared" si="122"/>
        <v>1.6932989310175717</v>
      </c>
      <c r="F457" s="20">
        <f t="shared" si="123"/>
        <v>6.5329504717375128E-2</v>
      </c>
      <c r="G457" s="20">
        <f t="shared" si="124"/>
        <v>1.42237110205476</v>
      </c>
      <c r="I457" s="20">
        <f t="shared" si="119"/>
        <v>4.4165165405568987E-2</v>
      </c>
      <c r="K457" s="20">
        <f t="shared" si="129"/>
        <v>19.009596461081944</v>
      </c>
      <c r="L457" s="20">
        <f t="shared" si="120"/>
        <v>-8.0581731977139845E-2</v>
      </c>
      <c r="M457" s="20">
        <f t="shared" si="125"/>
        <v>-1.7544465921432582</v>
      </c>
      <c r="N457" s="1">
        <f t="shared" si="130"/>
        <v>147.76391236379365</v>
      </c>
      <c r="P457" s="20">
        <f t="shared" si="131"/>
        <v>0.84010827075021111</v>
      </c>
      <c r="Q457" s="20">
        <f t="shared" si="126"/>
        <v>-0.3887412501225268</v>
      </c>
      <c r="R457" s="20">
        <f t="shared" si="127"/>
        <v>-8.4637764015355277</v>
      </c>
      <c r="S457" s="20">
        <f t="shared" si="132"/>
        <v>95.42819969484529</v>
      </c>
      <c r="T457" s="1">
        <f t="shared" si="133"/>
        <v>0</v>
      </c>
    </row>
    <row r="458" spans="1:20" x14ac:dyDescent="0.25">
      <c r="A458" s="20">
        <f t="shared" si="128"/>
        <v>4.5299999999999478</v>
      </c>
      <c r="C458" s="20">
        <f t="shared" si="118"/>
        <v>19.007071701696361</v>
      </c>
      <c r="D458" s="20">
        <f t="shared" si="121"/>
        <v>7.7600999776282042E-2</v>
      </c>
      <c r="E458" s="20">
        <f t="shared" si="122"/>
        <v>1.6895493093028966</v>
      </c>
      <c r="F458" s="20">
        <f t="shared" si="123"/>
        <v>6.5184839812076914E-2</v>
      </c>
      <c r="G458" s="20">
        <f t="shared" si="124"/>
        <v>1.4192214198144333</v>
      </c>
      <c r="I458" s="20">
        <f t="shared" si="119"/>
        <v>3.9757284902513498E-2</v>
      </c>
      <c r="K458" s="20">
        <f t="shared" si="129"/>
        <v>18.992051995160512</v>
      </c>
      <c r="L458" s="20">
        <f t="shared" si="120"/>
        <v>-8.013056774315834E-2</v>
      </c>
      <c r="M458" s="20">
        <f t="shared" si="125"/>
        <v>-1.7446237261737065</v>
      </c>
      <c r="N458" s="1">
        <f t="shared" si="130"/>
        <v>147.95392060607489</v>
      </c>
      <c r="P458" s="20">
        <f t="shared" si="131"/>
        <v>0.75547050673485583</v>
      </c>
      <c r="Q458" s="20">
        <f t="shared" si="126"/>
        <v>-0.38852436269432356</v>
      </c>
      <c r="R458" s="20">
        <f t="shared" si="127"/>
        <v>-8.4590542715942423</v>
      </c>
      <c r="S458" s="20">
        <f t="shared" si="132"/>
        <v>95.436177588732718</v>
      </c>
      <c r="T458" s="1">
        <f t="shared" si="133"/>
        <v>0</v>
      </c>
    </row>
    <row r="459" spans="1:20" x14ac:dyDescent="0.25">
      <c r="A459" s="20">
        <f t="shared" si="128"/>
        <v>4.5399999999999476</v>
      </c>
      <c r="C459" s="20">
        <f t="shared" si="118"/>
        <v>18.986462113669504</v>
      </c>
      <c r="D459" s="20">
        <f t="shared" si="121"/>
        <v>7.7432803688232979E-2</v>
      </c>
      <c r="E459" s="20">
        <f t="shared" si="122"/>
        <v>1.6858872999833003</v>
      </c>
      <c r="F459" s="20">
        <f t="shared" si="123"/>
        <v>6.5043555098115699E-2</v>
      </c>
      <c r="G459" s="20">
        <f t="shared" si="124"/>
        <v>1.4161453319859723</v>
      </c>
      <c r="I459" s="20">
        <f t="shared" si="119"/>
        <v>3.5342005351690457E-2</v>
      </c>
      <c r="K459" s="20">
        <f t="shared" si="129"/>
        <v>18.974605757898775</v>
      </c>
      <c r="L459" s="20">
        <f t="shared" si="120"/>
        <v>-7.9682740868697893E-2</v>
      </c>
      <c r="M459" s="20">
        <f t="shared" si="125"/>
        <v>-1.7348735220704963</v>
      </c>
      <c r="N459" s="1">
        <f t="shared" si="130"/>
        <v>148.14375389484019</v>
      </c>
      <c r="P459" s="20">
        <f t="shared" si="131"/>
        <v>0.67087996401891337</v>
      </c>
      <c r="Q459" s="20">
        <f t="shared" si="126"/>
        <v>-0.38830642313537811</v>
      </c>
      <c r="R459" s="20">
        <f t="shared" si="127"/>
        <v>-8.4543092343866348</v>
      </c>
      <c r="S459" s="20">
        <f t="shared" si="132"/>
        <v>95.44330934108649</v>
      </c>
      <c r="T459" s="1">
        <f t="shared" si="133"/>
        <v>0</v>
      </c>
    </row>
    <row r="460" spans="1:20" x14ac:dyDescent="0.25">
      <c r="A460" s="20">
        <f t="shared" si="128"/>
        <v>4.5499999999999474</v>
      </c>
      <c r="C460" s="20">
        <f t="shared" si="118"/>
        <v>18.96632238339744</v>
      </c>
      <c r="D460" s="20">
        <f t="shared" si="121"/>
        <v>7.7268618420778826E-2</v>
      </c>
      <c r="E460" s="20">
        <f t="shared" si="122"/>
        <v>1.6823126153010848</v>
      </c>
      <c r="F460" s="20">
        <f t="shared" si="123"/>
        <v>6.4905639473454207E-2</v>
      </c>
      <c r="G460" s="20">
        <f t="shared" si="124"/>
        <v>1.4131425968529112</v>
      </c>
      <c r="I460" s="20">
        <f t="shared" si="119"/>
        <v>3.0919558104831275E-2</v>
      </c>
      <c r="K460" s="20">
        <f t="shared" si="129"/>
        <v>18.957257022678071</v>
      </c>
      <c r="L460" s="20">
        <f t="shared" si="120"/>
        <v>-7.9238220167998016E-2</v>
      </c>
      <c r="M460" s="20">
        <f t="shared" si="125"/>
        <v>-1.725195300849075</v>
      </c>
      <c r="N460" s="1">
        <f t="shared" si="130"/>
        <v>148.33341320874308</v>
      </c>
      <c r="P460" s="20">
        <f t="shared" si="131"/>
        <v>0.586336871675047</v>
      </c>
      <c r="Q460" s="20">
        <f t="shared" si="126"/>
        <v>-0.38808741445196759</v>
      </c>
      <c r="R460" s="20">
        <f t="shared" si="127"/>
        <v>-8.4495409199209153</v>
      </c>
      <c r="S460" s="20">
        <f t="shared" si="132"/>
        <v>95.44959542526496</v>
      </c>
      <c r="T460" s="1">
        <f t="shared" si="133"/>
        <v>0</v>
      </c>
    </row>
    <row r="461" spans="1:20" x14ac:dyDescent="0.25">
      <c r="A461" s="20">
        <f t="shared" si="128"/>
        <v>4.5599999999999472</v>
      </c>
      <c r="C461" s="20">
        <f t="shared" si="118"/>
        <v>18.946652392772961</v>
      </c>
      <c r="D461" s="20">
        <f t="shared" si="121"/>
        <v>7.7108430816841392E-2</v>
      </c>
      <c r="E461" s="20">
        <f t="shared" si="122"/>
        <v>1.6788249687968952</v>
      </c>
      <c r="F461" s="20">
        <f t="shared" si="123"/>
        <v>6.4771081886146775E-2</v>
      </c>
      <c r="G461" s="20">
        <f t="shared" si="124"/>
        <v>1.410212973789392</v>
      </c>
      <c r="I461" s="20">
        <f t="shared" si="119"/>
        <v>2.6490176190369211E-2</v>
      </c>
      <c r="K461" s="20">
        <f t="shared" si="129"/>
        <v>18.940005069669581</v>
      </c>
      <c r="L461" s="20">
        <f t="shared" si="120"/>
        <v>-7.8796974478435949E-2</v>
      </c>
      <c r="M461" s="20">
        <f t="shared" si="125"/>
        <v>-1.7155883840286512</v>
      </c>
      <c r="N461" s="1">
        <f t="shared" si="130"/>
        <v>148.5228995192048</v>
      </c>
      <c r="P461" s="20">
        <f t="shared" si="131"/>
        <v>0.50184146247583783</v>
      </c>
      <c r="Q461" s="20">
        <f t="shared" si="126"/>
        <v>-0.38786731970479804</v>
      </c>
      <c r="R461" s="20">
        <f t="shared" si="127"/>
        <v>-8.4447489593903349</v>
      </c>
      <c r="S461" s="20">
        <f t="shared" si="132"/>
        <v>95.455036316935704</v>
      </c>
      <c r="T461" s="1">
        <f t="shared" si="133"/>
        <v>0</v>
      </c>
    </row>
    <row r="462" spans="1:20" x14ac:dyDescent="0.25">
      <c r="A462" s="20">
        <f t="shared" si="128"/>
        <v>4.569999999999947</v>
      </c>
      <c r="C462" s="20">
        <f t="shared" si="118"/>
        <v>18.927451995401775</v>
      </c>
      <c r="D462" s="20">
        <f t="shared" si="121"/>
        <v>7.6952227777754387E-2</v>
      </c>
      <c r="E462" s="20">
        <f t="shared" si="122"/>
        <v>1.6754240752831349</v>
      </c>
      <c r="F462" s="20">
        <f t="shared" si="123"/>
        <v>6.4639871333313684E-2</v>
      </c>
      <c r="G462" s="20">
        <f t="shared" si="124"/>
        <v>1.4073562232378334</v>
      </c>
      <c r="I462" s="20">
        <f t="shared" si="119"/>
        <v>2.2054094257589339E-2</v>
      </c>
      <c r="K462" s="20">
        <f t="shared" si="129"/>
        <v>18.922849185829296</v>
      </c>
      <c r="L462" s="20">
        <f t="shared" si="120"/>
        <v>-7.8358972661229376E-2</v>
      </c>
      <c r="M462" s="20">
        <f t="shared" si="125"/>
        <v>-1.7060520936474934</v>
      </c>
      <c r="N462" s="1">
        <f t="shared" si="130"/>
        <v>148.71221379048228</v>
      </c>
      <c r="P462" s="20">
        <f t="shared" si="131"/>
        <v>0.41739397288193447</v>
      </c>
      <c r="Q462" s="20">
        <f t="shared" si="126"/>
        <v>-0.38764612201287391</v>
      </c>
      <c r="R462" s="20">
        <f t="shared" si="127"/>
        <v>-8.4399329852574336</v>
      </c>
      <c r="S462" s="20">
        <f t="shared" si="132"/>
        <v>95.459632494112498</v>
      </c>
      <c r="T462" s="1">
        <f t="shared" si="133"/>
        <v>0</v>
      </c>
    </row>
    <row r="463" spans="1:20" x14ac:dyDescent="0.25">
      <c r="A463" s="20">
        <f t="shared" si="128"/>
        <v>4.5799999999999468</v>
      </c>
      <c r="C463" s="20">
        <f t="shared" si="118"/>
        <v>18.908721016342593</v>
      </c>
      <c r="D463" s="20">
        <f t="shared" si="121"/>
        <v>7.6799996262051792E-2</v>
      </c>
      <c r="E463" s="20">
        <f t="shared" si="122"/>
        <v>1.6721096508175874</v>
      </c>
      <c r="F463" s="20">
        <f t="shared" si="123"/>
        <v>6.4511996860123502E-2</v>
      </c>
      <c r="G463" s="20">
        <f t="shared" si="124"/>
        <v>1.4045721066867733</v>
      </c>
      <c r="I463" s="20">
        <f t="shared" si="119"/>
        <v>1.7611548519655722E-2</v>
      </c>
      <c r="K463" s="20">
        <f t="shared" si="129"/>
        <v>18.905788664892821</v>
      </c>
      <c r="L463" s="20">
        <f t="shared" si="120"/>
        <v>-7.7924183602210567E-2</v>
      </c>
      <c r="M463" s="20">
        <f t="shared" si="125"/>
        <v>-1.696585752279786</v>
      </c>
      <c r="N463" s="1">
        <f t="shared" si="130"/>
        <v>148.90135697973591</v>
      </c>
      <c r="P463" s="20">
        <f t="shared" si="131"/>
        <v>0.3329946430293601</v>
      </c>
      <c r="Q463" s="20">
        <f t="shared" si="126"/>
        <v>-0.38742380455735426</v>
      </c>
      <c r="R463" s="20">
        <f t="shared" si="127"/>
        <v>-8.4350926313379979</v>
      </c>
      <c r="S463" s="20">
        <f t="shared" si="132"/>
        <v>95.463384437192047</v>
      </c>
      <c r="T463" s="1">
        <f t="shared" si="133"/>
        <v>0</v>
      </c>
    </row>
    <row r="464" spans="1:20" x14ac:dyDescent="0.25">
      <c r="A464" s="20">
        <f t="shared" si="128"/>
        <v>4.5899999999999466</v>
      </c>
      <c r="C464" s="20">
        <f t="shared" si="118"/>
        <v>18.890459251857386</v>
      </c>
      <c r="D464" s="20">
        <f t="shared" si="121"/>
        <v>7.6651723284265769E-2</v>
      </c>
      <c r="E464" s="20">
        <f t="shared" si="122"/>
        <v>1.6688814126772431</v>
      </c>
      <c r="F464" s="20">
        <f t="shared" si="123"/>
        <v>6.4387447558783242E-2</v>
      </c>
      <c r="G464" s="20">
        <f t="shared" si="124"/>
        <v>1.4018603866488841</v>
      </c>
      <c r="I464" s="20">
        <f t="shared" si="119"/>
        <v>1.3162776695549078E-2</v>
      </c>
      <c r="K464" s="20">
        <f t="shared" si="129"/>
        <v>18.888822807370023</v>
      </c>
      <c r="L464" s="20">
        <f t="shared" si="120"/>
        <v>-7.7492576212671624E-2</v>
      </c>
      <c r="M464" s="20">
        <f t="shared" si="125"/>
        <v>-1.6871886830540306</v>
      </c>
      <c r="N464" s="1">
        <f t="shared" si="130"/>
        <v>149.09033003709723</v>
      </c>
      <c r="P464" s="20">
        <f t="shared" si="131"/>
        <v>0.24864371671598012</v>
      </c>
      <c r="Q464" s="20">
        <f t="shared" si="126"/>
        <v>-0.3872003505853957</v>
      </c>
      <c r="R464" s="20">
        <f t="shared" si="127"/>
        <v>-8.4302275328847323</v>
      </c>
      <c r="S464" s="20">
        <f t="shared" si="132"/>
        <v>95.466292628990786</v>
      </c>
      <c r="T464" s="1">
        <f t="shared" si="133"/>
        <v>0</v>
      </c>
    </row>
    <row r="465" spans="1:20" x14ac:dyDescent="0.25">
      <c r="A465" s="20">
        <f t="shared" si="128"/>
        <v>4.5999999999999464</v>
      </c>
      <c r="C465" s="20">
        <f t="shared" si="118"/>
        <v>18.872666469171978</v>
      </c>
      <c r="D465" s="20">
        <f t="shared" si="121"/>
        <v>7.6507395913733289E-2</v>
      </c>
      <c r="E465" s="20">
        <f t="shared" si="122"/>
        <v>1.6657390793323164</v>
      </c>
      <c r="F465" s="20">
        <f t="shared" si="123"/>
        <v>6.4266212567535952E-2</v>
      </c>
      <c r="G465" s="20">
        <f t="shared" si="124"/>
        <v>1.3992208266391455</v>
      </c>
      <c r="I465" s="20">
        <f t="shared" si="119"/>
        <v>8.7080179509492883E-3</v>
      </c>
      <c r="K465" s="20">
        <f t="shared" si="129"/>
        <v>18.871950920539483</v>
      </c>
      <c r="L465" s="20">
        <f t="shared" si="120"/>
        <v>-7.7064119430279382E-2</v>
      </c>
      <c r="M465" s="20">
        <f t="shared" si="125"/>
        <v>-1.6778602096729671</v>
      </c>
      <c r="N465" s="1">
        <f t="shared" si="130"/>
        <v>149.27913390573678</v>
      </c>
      <c r="P465" s="20">
        <f t="shared" si="131"/>
        <v>0.1643414413871328</v>
      </c>
      <c r="Q465" s="20">
        <f t="shared" si="126"/>
        <v>-0.38697574341397944</v>
      </c>
      <c r="R465" s="20">
        <f t="shared" si="127"/>
        <v>-8.425337326670574</v>
      </c>
      <c r="S465" s="20">
        <f t="shared" si="132"/>
        <v>95.468357554781306</v>
      </c>
      <c r="T465" s="1">
        <f t="shared" si="133"/>
        <v>0</v>
      </c>
    </row>
    <row r="466" spans="1:20" x14ac:dyDescent="0.25">
      <c r="A466" s="20">
        <f t="shared" si="128"/>
        <v>4.6099999999999461</v>
      </c>
      <c r="C466" s="20">
        <f t="shared" si="118"/>
        <v>18.855342406247232</v>
      </c>
      <c r="D466" s="20">
        <f t="shared" si="121"/>
        <v>7.6367001273412657E-2</v>
      </c>
      <c r="E466" s="20">
        <f t="shared" si="122"/>
        <v>1.6626823704204803</v>
      </c>
      <c r="F466" s="20">
        <f t="shared" si="123"/>
        <v>6.4148281069666635E-2</v>
      </c>
      <c r="G466" s="20">
        <f t="shared" si="124"/>
        <v>1.3966531911532034</v>
      </c>
      <c r="I466" s="20">
        <f t="shared" si="119"/>
        <v>4.2475128380987512E-3</v>
      </c>
      <c r="K466" s="20">
        <f t="shared" si="129"/>
        <v>18.855172318442754</v>
      </c>
      <c r="L466" s="20">
        <f t="shared" si="120"/>
        <v>-7.6638782220060264E-2</v>
      </c>
      <c r="M466" s="20">
        <f t="shared" si="125"/>
        <v>-1.6685996564350156</v>
      </c>
      <c r="N466" s="1">
        <f t="shared" si="130"/>
        <v>149.46776952193167</v>
      </c>
      <c r="P466" s="20">
        <f t="shared" si="131"/>
        <v>8.0088068120427056E-2</v>
      </c>
      <c r="Q466" s="20">
        <f t="shared" si="126"/>
        <v>-0.38674996643372084</v>
      </c>
      <c r="R466" s="20">
        <f t="shared" si="127"/>
        <v>-8.4204216510716492</v>
      </c>
      <c r="S466" s="20">
        <f t="shared" si="132"/>
        <v>95.469579702328843</v>
      </c>
      <c r="T466" s="1">
        <f t="shared" si="133"/>
        <v>0</v>
      </c>
    </row>
    <row r="467" spans="1:20" x14ac:dyDescent="0.25">
      <c r="A467" s="20">
        <f t="shared" si="128"/>
        <v>4.6199999999999459</v>
      </c>
      <c r="C467" s="20">
        <f t="shared" si="118"/>
        <v>18.838486771560959</v>
      </c>
      <c r="D467" s="20">
        <f t="shared" si="121"/>
        <v>7.6230526538709209E-2</v>
      </c>
      <c r="E467" s="20">
        <f t="shared" si="122"/>
        <v>1.6597110067212979</v>
      </c>
      <c r="F467" s="20">
        <f t="shared" si="123"/>
        <v>6.4033642292515736E-2</v>
      </c>
      <c r="G467" s="20">
        <f t="shared" si="124"/>
        <v>1.3941572456458902</v>
      </c>
      <c r="I467" s="20">
        <f t="shared" si="119"/>
        <v>-2.1849676531634552E-4</v>
      </c>
      <c r="K467" s="20">
        <f t="shared" si="129"/>
        <v>18.838486321878403</v>
      </c>
      <c r="L467" s="20">
        <f t="shared" si="120"/>
        <v>-7.621653357545366E-2</v>
      </c>
      <c r="M467" s="20">
        <f t="shared" si="125"/>
        <v>-1.6594063482572101</v>
      </c>
      <c r="N467" s="1">
        <f t="shared" si="130"/>
        <v>149.65623781513327</v>
      </c>
      <c r="P467" s="20">
        <f t="shared" si="131"/>
        <v>-4.1161483902894397E-3</v>
      </c>
      <c r="Q467" s="20">
        <f t="shared" si="126"/>
        <v>-0.38652300311265952</v>
      </c>
      <c r="R467" s="20">
        <f t="shared" si="127"/>
        <v>-8.4154801461497826</v>
      </c>
      <c r="S467" s="20">
        <f t="shared" si="132"/>
        <v>95.469959561927482</v>
      </c>
      <c r="T467" s="1">
        <f t="shared" si="133"/>
        <v>0</v>
      </c>
    </row>
    <row r="468" spans="1:20" x14ac:dyDescent="0.25">
      <c r="A468" s="20">
        <f t="shared" si="128"/>
        <v>4.6299999999999457</v>
      </c>
      <c r="C468" s="20">
        <f t="shared" si="118"/>
        <v>18.822099243900738</v>
      </c>
      <c r="D468" s="20">
        <f t="shared" si="121"/>
        <v>7.6097958936310328E-2</v>
      </c>
      <c r="E468" s="20">
        <f t="shared" si="122"/>
        <v>1.6568247101308584</v>
      </c>
      <c r="F468" s="20">
        <f t="shared" si="123"/>
        <v>6.3922285506500684E-2</v>
      </c>
      <c r="G468" s="20">
        <f t="shared" si="124"/>
        <v>1.3917327565099213</v>
      </c>
      <c r="I468" s="20">
        <f t="shared" si="119"/>
        <v>-4.6897677182284351E-3</v>
      </c>
      <c r="K468" s="20">
        <f t="shared" si="129"/>
        <v>18.821892258395831</v>
      </c>
      <c r="L468" s="20">
        <f t="shared" si="120"/>
        <v>-7.5797342519433125E-2</v>
      </c>
      <c r="M468" s="20">
        <f t="shared" si="125"/>
        <v>-1.6502796106996109</v>
      </c>
      <c r="N468" s="1">
        <f t="shared" si="130"/>
        <v>149.84453970803463</v>
      </c>
      <c r="P468" s="20">
        <f t="shared" si="131"/>
        <v>-8.8270949851787267E-2</v>
      </c>
      <c r="Q468" s="20">
        <f t="shared" si="126"/>
        <v>-0.38629483700002859</v>
      </c>
      <c r="R468" s="20">
        <f t="shared" si="127"/>
        <v>-8.4105124537345652</v>
      </c>
      <c r="S468" s="20">
        <f t="shared" si="132"/>
        <v>95.469497626436265</v>
      </c>
      <c r="T468" s="1">
        <f t="shared" si="133"/>
        <v>0</v>
      </c>
    </row>
    <row r="469" spans="1:20" x14ac:dyDescent="0.25">
      <c r="A469" s="20">
        <f t="shared" si="128"/>
        <v>4.6399999999999455</v>
      </c>
      <c r="C469" s="20">
        <f t="shared" si="118"/>
        <v>18.806179472167805</v>
      </c>
      <c r="D469" s="20">
        <f t="shared" si="121"/>
        <v>7.5969285743029843E-2</v>
      </c>
      <c r="E469" s="20">
        <f t="shared" si="122"/>
        <v>1.6540232036366176</v>
      </c>
      <c r="F469" s="20">
        <f t="shared" si="123"/>
        <v>6.3814200024145076E-2</v>
      </c>
      <c r="G469" s="20">
        <f t="shared" si="124"/>
        <v>1.389379491054759</v>
      </c>
      <c r="I469" s="20">
        <f t="shared" si="119"/>
        <v>-9.1660556791550094E-3</v>
      </c>
      <c r="K469" s="20">
        <f t="shared" si="129"/>
        <v>18.805389462288836</v>
      </c>
      <c r="L469" s="20">
        <f t="shared" si="120"/>
        <v>-7.5381178105694543E-2</v>
      </c>
      <c r="M469" s="20">
        <f t="shared" si="125"/>
        <v>-1.6412187699911724</v>
      </c>
      <c r="N469" s="1">
        <f t="shared" si="130"/>
        <v>150.03267611663804</v>
      </c>
      <c r="P469" s="20">
        <f t="shared" si="131"/>
        <v>-0.17237607438913294</v>
      </c>
      <c r="Q469" s="20">
        <f t="shared" si="126"/>
        <v>-0.38606545173000056</v>
      </c>
      <c r="R469" s="20">
        <f t="shared" si="127"/>
        <v>-8.4055182175049108</v>
      </c>
      <c r="S469" s="20">
        <f t="shared" si="132"/>
        <v>95.468194391315066</v>
      </c>
      <c r="T469" s="1">
        <f t="shared" si="133"/>
        <v>0</v>
      </c>
    </row>
    <row r="470" spans="1:20" x14ac:dyDescent="0.25">
      <c r="A470" s="20">
        <f t="shared" si="128"/>
        <v>4.6499999999999453</v>
      </c>
      <c r="C470" s="20">
        <f t="shared" si="118"/>
        <v>18.790727075192223</v>
      </c>
      <c r="D470" s="20">
        <f t="shared" si="121"/>
        <v>7.5844494284662195E-2</v>
      </c>
      <c r="E470" s="20">
        <f t="shared" si="122"/>
        <v>1.6513062112924493</v>
      </c>
      <c r="F470" s="20">
        <f t="shared" si="123"/>
        <v>6.370937519911625E-2</v>
      </c>
      <c r="G470" s="20">
        <f t="shared" si="124"/>
        <v>1.3870972174856575</v>
      </c>
      <c r="I470" s="20">
        <f t="shared" si="119"/>
        <v>-1.3647115170028323E-2</v>
      </c>
      <c r="K470" s="20">
        <f t="shared" si="129"/>
        <v>18.788977274588923</v>
      </c>
      <c r="L470" s="20">
        <f t="shared" si="120"/>
        <v>-7.4968009419910567E-2</v>
      </c>
      <c r="M470" s="20">
        <f t="shared" si="125"/>
        <v>-1.6322231530570557</v>
      </c>
      <c r="N470" s="1">
        <f t="shared" si="130"/>
        <v>150.22064795032244</v>
      </c>
      <c r="P470" s="20">
        <f t="shared" si="131"/>
        <v>-0.25643125656418203</v>
      </c>
      <c r="Q470" s="20">
        <f t="shared" si="126"/>
        <v>-0.38583483102540866</v>
      </c>
      <c r="R470" s="20">
        <f t="shared" si="127"/>
        <v>-8.4004970830700785</v>
      </c>
      <c r="S470" s="20">
        <f t="shared" si="132"/>
        <v>95.466050354660311</v>
      </c>
      <c r="T470" s="1">
        <f t="shared" si="133"/>
        <v>0</v>
      </c>
    </row>
    <row r="471" spans="1:20" x14ac:dyDescent="0.25">
      <c r="A471" s="20">
        <f t="shared" si="128"/>
        <v>4.6599999999999451</v>
      </c>
      <c r="C471" s="20">
        <f t="shared" si="118"/>
        <v>18.775741641559385</v>
      </c>
      <c r="D471" s="20">
        <f t="shared" si="121"/>
        <v>7.572357193484576E-2</v>
      </c>
      <c r="E471" s="20">
        <f t="shared" si="122"/>
        <v>1.6486734581938987</v>
      </c>
      <c r="F471" s="20">
        <f t="shared" si="123"/>
        <v>6.3607800425270436E-2</v>
      </c>
      <c r="G471" s="20">
        <f t="shared" si="124"/>
        <v>1.3848857048828747</v>
      </c>
      <c r="I471" s="20">
        <f t="shared" si="119"/>
        <v>-1.8132699640846479E-2</v>
      </c>
      <c r="K471" s="20">
        <f t="shared" si="129"/>
        <v>18.772655043058354</v>
      </c>
      <c r="L471" s="20">
        <f t="shared" si="120"/>
        <v>-7.4557805581049963E-2</v>
      </c>
      <c r="M471" s="20">
        <f t="shared" si="125"/>
        <v>-1.623292087547354</v>
      </c>
      <c r="N471" s="1">
        <f t="shared" si="130"/>
        <v>150.40845611191068</v>
      </c>
      <c r="P471" s="20">
        <f t="shared" si="131"/>
        <v>-0.34043622739488283</v>
      </c>
      <c r="Q471" s="20">
        <f t="shared" si="126"/>
        <v>-0.38560295870144173</v>
      </c>
      <c r="R471" s="20">
        <f t="shared" si="127"/>
        <v>-8.3954486980501137</v>
      </c>
      <c r="S471" s="20">
        <f t="shared" si="132"/>
        <v>95.463066017240521</v>
      </c>
      <c r="T471" s="1">
        <f t="shared" si="133"/>
        <v>0</v>
      </c>
    </row>
    <row r="472" spans="1:20" x14ac:dyDescent="0.25">
      <c r="A472" s="20">
        <f t="shared" si="128"/>
        <v>4.6699999999999449</v>
      </c>
      <c r="C472" s="20">
        <f t="shared" si="118"/>
        <v>18.761222729448082</v>
      </c>
      <c r="D472" s="20">
        <f t="shared" si="121"/>
        <v>7.5606506113935809E-2</v>
      </c>
      <c r="E472" s="20">
        <f t="shared" si="122"/>
        <v>1.6461246704536427</v>
      </c>
      <c r="F472" s="20">
        <f t="shared" si="123"/>
        <v>6.3509465135706072E-2</v>
      </c>
      <c r="G472" s="20">
        <f t="shared" si="124"/>
        <v>1.3827447231810597</v>
      </c>
      <c r="I472" s="20">
        <f t="shared" si="119"/>
        <v>-2.262256153510284E-2</v>
      </c>
      <c r="K472" s="20">
        <f t="shared" si="129"/>
        <v>18.75642212218288</v>
      </c>
      <c r="L472" s="20">
        <f t="shared" si="120"/>
        <v>-7.4150535742760981E-2</v>
      </c>
      <c r="M472" s="20">
        <f t="shared" si="125"/>
        <v>-1.6144249018672105</v>
      </c>
      <c r="N472" s="1">
        <f t="shared" si="130"/>
        <v>150.5961014977369</v>
      </c>
      <c r="P472" s="20">
        <f t="shared" si="131"/>
        <v>-0.42439071437538395</v>
      </c>
      <c r="Q472" s="20">
        <f t="shared" si="126"/>
        <v>-0.3853698186693103</v>
      </c>
      <c r="R472" s="20">
        <f t="shared" si="127"/>
        <v>-8.3903727121556777</v>
      </c>
      <c r="S472" s="20">
        <f t="shared" si="132"/>
        <v>95.459241882531671</v>
      </c>
      <c r="T472" s="1">
        <f t="shared" si="133"/>
        <v>0</v>
      </c>
    </row>
    <row r="473" spans="1:20" x14ac:dyDescent="0.25">
      <c r="A473" s="20">
        <f t="shared" si="128"/>
        <v>4.6799999999999446</v>
      </c>
      <c r="C473" s="20">
        <f t="shared" si="118"/>
        <v>18.747169866480238</v>
      </c>
      <c r="D473" s="20">
        <f t="shared" si="121"/>
        <v>7.549328428788725E-2</v>
      </c>
      <c r="E473" s="20">
        <f t="shared" si="122"/>
        <v>1.6436595751771663</v>
      </c>
      <c r="F473" s="20">
        <f t="shared" si="123"/>
        <v>6.3414358801825291E-2</v>
      </c>
      <c r="G473" s="20">
        <f t="shared" si="124"/>
        <v>1.3806740431488198</v>
      </c>
      <c r="I473" s="20">
        <f t="shared" si="119"/>
        <v>-2.7116452355949887E-2</v>
      </c>
      <c r="K473" s="20">
        <f t="shared" si="129"/>
        <v>18.740277873164207</v>
      </c>
      <c r="L473" s="20">
        <f t="shared" si="120"/>
        <v>-7.3746169094818001E-2</v>
      </c>
      <c r="M473" s="20">
        <f t="shared" si="125"/>
        <v>-1.6056209252083171</v>
      </c>
      <c r="N473" s="1">
        <f t="shared" si="130"/>
        <v>150.78358499771363</v>
      </c>
      <c r="P473" s="20">
        <f t="shared" si="131"/>
        <v>-0.5082944414969407</v>
      </c>
      <c r="Q473" s="20">
        <f t="shared" si="126"/>
        <v>-0.3851353949398828</v>
      </c>
      <c r="R473" s="20">
        <f t="shared" si="127"/>
        <v>-8.385268777267207</v>
      </c>
      <c r="S473" s="20">
        <f t="shared" si="132"/>
        <v>95.454578456752301</v>
      </c>
      <c r="T473" s="1">
        <f t="shared" si="133"/>
        <v>0</v>
      </c>
    </row>
    <row r="474" spans="1:20" x14ac:dyDescent="0.25">
      <c r="A474" s="20">
        <f t="shared" si="128"/>
        <v>4.6899999999999444</v>
      </c>
      <c r="C474" s="20">
        <f t="shared" si="118"/>
        <v>18.733582549582401</v>
      </c>
      <c r="D474" s="20">
        <f t="shared" si="121"/>
        <v>7.5383893967146648E-2</v>
      </c>
      <c r="E474" s="20">
        <f t="shared" si="122"/>
        <v>1.6412779004386382</v>
      </c>
      <c r="F474" s="20">
        <f t="shared" si="123"/>
        <v>6.3322470932403188E-2</v>
      </c>
      <c r="G474" s="20">
        <f t="shared" si="124"/>
        <v>1.3786734363684561</v>
      </c>
      <c r="I474" s="20">
        <f t="shared" si="119"/>
        <v>-3.1614122733052433E-2</v>
      </c>
      <c r="K474" s="20">
        <f t="shared" si="129"/>
        <v>18.724221663912122</v>
      </c>
      <c r="L474" s="20">
        <f t="shared" si="120"/>
        <v>-7.3344674864629616E-2</v>
      </c>
      <c r="M474" s="20">
        <f t="shared" si="125"/>
        <v>-1.5968794875817465</v>
      </c>
      <c r="N474" s="1">
        <f t="shared" si="130"/>
        <v>150.97090749539902</v>
      </c>
      <c r="P474" s="20">
        <f t="shared" si="131"/>
        <v>-0.59214712926961277</v>
      </c>
      <c r="Q474" s="20">
        <f t="shared" si="126"/>
        <v>-0.38489967162729</v>
      </c>
      <c r="R474" s="20">
        <f t="shared" si="127"/>
        <v>-8.3801365475133895</v>
      </c>
      <c r="S474" s="20">
        <f t="shared" si="132"/>
        <v>95.449076248898479</v>
      </c>
      <c r="T474" s="1">
        <f t="shared" si="133"/>
        <v>0</v>
      </c>
    </row>
    <row r="475" spans="1:20" x14ac:dyDescent="0.25">
      <c r="A475" s="20">
        <f t="shared" si="128"/>
        <v>4.6999999999999442</v>
      </c>
      <c r="C475" s="20">
        <f t="shared" si="118"/>
        <v>18.720460244859172</v>
      </c>
      <c r="D475" s="20">
        <f t="shared" si="121"/>
        <v>7.5278322705554152E-2</v>
      </c>
      <c r="E475" s="20">
        <f t="shared" si="122"/>
        <v>1.6389793752570032</v>
      </c>
      <c r="F475" s="20">
        <f t="shared" si="123"/>
        <v>6.3233791072665482E-2</v>
      </c>
      <c r="G475" s="20">
        <f t="shared" si="124"/>
        <v>1.3767426752158824</v>
      </c>
      <c r="I475" s="20">
        <f t="shared" si="119"/>
        <v>-3.6115322490084374E-2</v>
      </c>
      <c r="K475" s="20">
        <f t="shared" si="129"/>
        <v>18.708252869036304</v>
      </c>
      <c r="L475" s="20">
        <f t="shared" si="120"/>
        <v>-7.294602231880784E-2</v>
      </c>
      <c r="M475" s="20">
        <f t="shared" si="125"/>
        <v>-1.5881999198521193</v>
      </c>
      <c r="N475" s="1">
        <f t="shared" si="130"/>
        <v>151.15806986806376</v>
      </c>
      <c r="P475" s="20">
        <f t="shared" si="131"/>
        <v>-0.67594849474474672</v>
      </c>
      <c r="Q475" s="20">
        <f t="shared" si="126"/>
        <v>-0.38466263295249514</v>
      </c>
      <c r="R475" s="20">
        <f t="shared" si="127"/>
        <v>-8.3749756793489034</v>
      </c>
      <c r="S475" s="20">
        <f t="shared" si="132"/>
        <v>95.442735770778413</v>
      </c>
      <c r="T475" s="1">
        <f t="shared" si="133"/>
        <v>0</v>
      </c>
    </row>
    <row r="476" spans="1:20" x14ac:dyDescent="0.25">
      <c r="A476" s="20">
        <f t="shared" si="128"/>
        <v>4.709999999999944</v>
      </c>
      <c r="C476" s="20">
        <f t="shared" si="118"/>
        <v>18.707802387478612</v>
      </c>
      <c r="D476" s="20">
        <f t="shared" si="121"/>
        <v>7.5176558099254942E-2</v>
      </c>
      <c r="E476" s="20">
        <f t="shared" si="122"/>
        <v>1.6367637295722828</v>
      </c>
      <c r="F476" s="20">
        <f t="shared" si="123"/>
        <v>6.3148308803374145E-2</v>
      </c>
      <c r="G476" s="20">
        <f t="shared" si="124"/>
        <v>1.3748815328407173</v>
      </c>
      <c r="I476" s="20">
        <f t="shared" si="119"/>
        <v>-4.0619800712822278E-2</v>
      </c>
      <c r="K476" s="20">
        <f t="shared" si="129"/>
        <v>18.692370869837784</v>
      </c>
      <c r="L476" s="20">
        <f t="shared" si="120"/>
        <v>-7.2550180764796288E-2</v>
      </c>
      <c r="M476" s="20">
        <f t="shared" si="125"/>
        <v>-1.5795815537730522</v>
      </c>
      <c r="N476" s="1">
        <f t="shared" si="130"/>
        <v>151.34507298675811</v>
      </c>
      <c r="P476" s="20">
        <f t="shared" si="131"/>
        <v>-0.75969825153823578</v>
      </c>
      <c r="Q476" s="20">
        <f t="shared" si="126"/>
        <v>-0.38442426324682927</v>
      </c>
      <c r="R476" s="20">
        <f t="shared" si="127"/>
        <v>-8.3697858316313791</v>
      </c>
      <c r="S476" s="20">
        <f t="shared" si="132"/>
        <v>95.435557537046989</v>
      </c>
      <c r="T476" s="1">
        <f t="shared" si="133"/>
        <v>0</v>
      </c>
    </row>
    <row r="477" spans="1:20" x14ac:dyDescent="0.25">
      <c r="A477" s="20">
        <f t="shared" si="128"/>
        <v>4.7199999999999438</v>
      </c>
      <c r="C477" s="20">
        <f t="shared" si="118"/>
        <v>18.695608381569745</v>
      </c>
      <c r="D477" s="20">
        <f t="shared" si="121"/>
        <v>7.5078587785620432E-2</v>
      </c>
      <c r="E477" s="20">
        <f t="shared" si="122"/>
        <v>1.6346306942220865</v>
      </c>
      <c r="F477" s="20">
        <f t="shared" si="123"/>
        <v>6.3066013739921156E-2</v>
      </c>
      <c r="G477" s="20">
        <f t="shared" si="124"/>
        <v>1.3730897831465525</v>
      </c>
      <c r="I477" s="20">
        <f t="shared" si="119"/>
        <v>-4.5127305817788239E-2</v>
      </c>
      <c r="K477" s="20">
        <f t="shared" si="129"/>
        <v>18.676575054300052</v>
      </c>
      <c r="L477" s="20">
        <f t="shared" si="120"/>
        <v>-7.2157119552556867E-2</v>
      </c>
      <c r="M477" s="20">
        <f t="shared" si="125"/>
        <v>-1.5710237220238814</v>
      </c>
      <c r="N477" s="1">
        <f t="shared" si="130"/>
        <v>151.53191771637879</v>
      </c>
      <c r="P477" s="20">
        <f t="shared" si="131"/>
        <v>-0.8433961098545496</v>
      </c>
      <c r="Q477" s="20">
        <f t="shared" si="126"/>
        <v>-0.38418454695548915</v>
      </c>
      <c r="R477" s="20">
        <f t="shared" si="127"/>
        <v>-8.3645666656975646</v>
      </c>
      <c r="S477" s="20">
        <f t="shared" si="132"/>
        <v>95.427542065240033</v>
      </c>
      <c r="T477" s="1">
        <f t="shared" si="133"/>
        <v>0</v>
      </c>
    </row>
    <row r="478" spans="1:20" x14ac:dyDescent="0.25">
      <c r="A478" s="20">
        <f t="shared" si="128"/>
        <v>4.7299999999999436</v>
      </c>
      <c r="C478" s="20">
        <f t="shared" si="118"/>
        <v>18.683877600132281</v>
      </c>
      <c r="D478" s="20">
        <f t="shared" si="121"/>
        <v>7.4984399442179397E-2</v>
      </c>
      <c r="E478" s="20">
        <f t="shared" si="122"/>
        <v>1.6325800009183409</v>
      </c>
      <c r="F478" s="20">
        <f t="shared" si="123"/>
        <v>6.2986895531430692E-2</v>
      </c>
      <c r="G478" s="20">
        <f t="shared" si="124"/>
        <v>1.3713672007714064</v>
      </c>
      <c r="I478" s="20">
        <f t="shared" si="119"/>
        <v>-4.9637585621393691E-2</v>
      </c>
      <c r="K478" s="20">
        <f t="shared" si="129"/>
        <v>18.660864817079812</v>
      </c>
      <c r="L478" s="20">
        <f t="shared" si="120"/>
        <v>-7.1766808076313221E-2</v>
      </c>
      <c r="M478" s="20">
        <f t="shared" si="125"/>
        <v>-1.5625257582476209</v>
      </c>
      <c r="N478" s="1">
        <f t="shared" si="130"/>
        <v>151.71860491573568</v>
      </c>
      <c r="P478" s="20">
        <f t="shared" si="131"/>
        <v>-0.92704177651152531</v>
      </c>
      <c r="Q478" s="20">
        <f t="shared" si="126"/>
        <v>-0.3839434686409961</v>
      </c>
      <c r="R478" s="20">
        <f t="shared" si="127"/>
        <v>-8.3593178454386265</v>
      </c>
      <c r="S478" s="20">
        <f t="shared" si="132"/>
        <v>95.418689875808198</v>
      </c>
      <c r="T478" s="1">
        <f t="shared" si="133"/>
        <v>0</v>
      </c>
    </row>
    <row r="479" spans="1:20" x14ac:dyDescent="0.25">
      <c r="A479" s="20">
        <f t="shared" si="128"/>
        <v>4.7399999999999434</v>
      </c>
      <c r="C479" s="20">
        <f t="shared" si="118"/>
        <v>18.672609384958584</v>
      </c>
      <c r="D479" s="20">
        <f t="shared" si="121"/>
        <v>7.4893980785558867E-2</v>
      </c>
      <c r="E479" s="20">
        <f t="shared" si="122"/>
        <v>1.6306113822242296</v>
      </c>
      <c r="F479" s="20">
        <f t="shared" si="123"/>
        <v>6.291094385986945E-2</v>
      </c>
      <c r="G479" s="20">
        <f t="shared" si="124"/>
        <v>1.3697135610683531</v>
      </c>
      <c r="I479" s="20">
        <f t="shared" si="119"/>
        <v>-5.4150387409535337E-2</v>
      </c>
      <c r="K479" s="20">
        <f t="shared" si="129"/>
        <v>18.645239559497337</v>
      </c>
      <c r="L479" s="20">
        <f t="shared" si="120"/>
        <v>-7.1379215776349828E-2</v>
      </c>
      <c r="M479" s="20">
        <f t="shared" si="125"/>
        <v>-1.5540869970901334</v>
      </c>
      <c r="N479" s="1">
        <f t="shared" si="130"/>
        <v>151.90513543761855</v>
      </c>
      <c r="P479" s="20">
        <f t="shared" si="131"/>
        <v>-1.0106349549659115</v>
      </c>
      <c r="Q479" s="20">
        <f t="shared" si="126"/>
        <v>-0.38370101298661458</v>
      </c>
      <c r="R479" s="20">
        <f t="shared" si="127"/>
        <v>-8.3540390373745836</v>
      </c>
      <c r="S479" s="20">
        <f t="shared" si="132"/>
        <v>95.409001492150821</v>
      </c>
      <c r="T479" s="1">
        <f t="shared" si="133"/>
        <v>0</v>
      </c>
    </row>
    <row r="480" spans="1:20" x14ac:dyDescent="0.25">
      <c r="A480" s="20">
        <f t="shared" si="128"/>
        <v>4.7499999999999432</v>
      </c>
      <c r="C480" s="20">
        <f t="shared" si="118"/>
        <v>18.661803046567933</v>
      </c>
      <c r="D480" s="20">
        <f t="shared" si="121"/>
        <v>7.4807319570434502E-2</v>
      </c>
      <c r="E480" s="20">
        <f t="shared" si="122"/>
        <v>1.6287245715313412</v>
      </c>
      <c r="F480" s="20">
        <f t="shared" si="123"/>
        <v>6.2838148439164979E-2</v>
      </c>
      <c r="G480" s="20">
        <f t="shared" si="124"/>
        <v>1.3681286400863266</v>
      </c>
      <c r="I480" s="20">
        <f t="shared" si="119"/>
        <v>-5.86654580075937E-2</v>
      </c>
      <c r="K480" s="20">
        <f t="shared" si="129"/>
        <v>18.629698689526435</v>
      </c>
      <c r="L480" s="20">
        <f t="shared" si="120"/>
        <v>-7.099431214086456E-2</v>
      </c>
      <c r="M480" s="20">
        <f t="shared" si="125"/>
        <v>-1.5457067742404651</v>
      </c>
      <c r="N480" s="1">
        <f t="shared" si="130"/>
        <v>152.09151012886369</v>
      </c>
      <c r="P480" s="20">
        <f t="shared" si="131"/>
        <v>-1.0941753453396572</v>
      </c>
      <c r="Q480" s="20">
        <f t="shared" si="126"/>
        <v>-0.38345716479972841</v>
      </c>
      <c r="R480" s="20">
        <f t="shared" si="127"/>
        <v>-8.3487299107278119</v>
      </c>
      <c r="S480" s="20">
        <f t="shared" si="132"/>
        <v>95.398477440649287</v>
      </c>
      <c r="T480" s="1">
        <f t="shared" si="133"/>
        <v>0</v>
      </c>
    </row>
    <row r="481" spans="1:20" x14ac:dyDescent="0.25">
      <c r="A481" s="20">
        <f t="shared" si="128"/>
        <v>4.7599999999999429</v>
      </c>
      <c r="C481" s="20">
        <f t="shared" si="118"/>
        <v>18.651457864153215</v>
      </c>
      <c r="D481" s="20">
        <f t="shared" si="121"/>
        <v>7.4724403588491431E-2</v>
      </c>
      <c r="E481" s="20">
        <f t="shared" si="122"/>
        <v>1.6269193030370441</v>
      </c>
      <c r="F481" s="20">
        <f t="shared" si="123"/>
        <v>6.276849901433279E-2</v>
      </c>
      <c r="G481" s="20">
        <f t="shared" si="124"/>
        <v>1.3666122145511168</v>
      </c>
      <c r="I481" s="20">
        <f t="shared" si="119"/>
        <v>-6.3182543850784006E-2</v>
      </c>
      <c r="K481" s="20">
        <f t="shared" si="129"/>
        <v>18.614241621784032</v>
      </c>
      <c r="L481" s="20">
        <f t="shared" si="120"/>
        <v>-7.0612066707874718E-2</v>
      </c>
      <c r="M481" s="20">
        <f t="shared" si="125"/>
        <v>-1.5373844264723431</v>
      </c>
      <c r="N481" s="1">
        <f t="shared" si="130"/>
        <v>152.27772983042024</v>
      </c>
      <c r="P481" s="20">
        <f t="shared" si="131"/>
        <v>-1.1776626444469354</v>
      </c>
      <c r="Q481" s="20">
        <f t="shared" si="126"/>
        <v>-0.38321190901517327</v>
      </c>
      <c r="R481" s="20">
        <f t="shared" si="127"/>
        <v>-8.343390137495609</v>
      </c>
      <c r="S481" s="20">
        <f t="shared" si="132"/>
        <v>95.387118250700354</v>
      </c>
      <c r="T481" s="1">
        <f t="shared" si="133"/>
        <v>0</v>
      </c>
    </row>
    <row r="482" spans="1:20" x14ac:dyDescent="0.25">
      <c r="A482" s="20">
        <f t="shared" si="128"/>
        <v>4.7699999999999427</v>
      </c>
      <c r="C482" s="20">
        <f t="shared" si="118"/>
        <v>18.641573085540017</v>
      </c>
      <c r="D482" s="20">
        <f t="shared" si="121"/>
        <v>7.464522066739461E-2</v>
      </c>
      <c r="E482" s="20">
        <f t="shared" si="122"/>
        <v>1.6251953117220685</v>
      </c>
      <c r="F482" s="20">
        <f t="shared" si="123"/>
        <v>6.2701985360611473E-2</v>
      </c>
      <c r="G482" s="20">
        <f t="shared" si="124"/>
        <v>1.3651640618465377</v>
      </c>
      <c r="I482" s="20">
        <f t="shared" si="119"/>
        <v>-6.770139105480906E-2</v>
      </c>
      <c r="K482" s="20">
        <f t="shared" si="129"/>
        <v>18.59886777751931</v>
      </c>
      <c r="L482" s="20">
        <f t="shared" si="120"/>
        <v>-7.0232449067173533E-2</v>
      </c>
      <c r="M482" s="20">
        <f t="shared" si="125"/>
        <v>-1.5291192916867742</v>
      </c>
      <c r="N482" s="1">
        <f t="shared" si="130"/>
        <v>152.46379537741677</v>
      </c>
      <c r="P482" s="20">
        <f t="shared" si="131"/>
        <v>-1.2610965458218915</v>
      </c>
      <c r="Q482" s="20">
        <f t="shared" si="126"/>
        <v>-0.38296523069852351</v>
      </c>
      <c r="R482" s="20">
        <f t="shared" si="127"/>
        <v>-8.3380193925217405</v>
      </c>
      <c r="S482" s="20">
        <f t="shared" si="132"/>
        <v>95.374924454749006</v>
      </c>
      <c r="T482" s="1">
        <f t="shared" si="133"/>
        <v>0</v>
      </c>
    </row>
    <row r="483" spans="1:20" x14ac:dyDescent="0.25">
      <c r="A483" s="20">
        <f t="shared" si="128"/>
        <v>4.7799999999999425</v>
      </c>
      <c r="C483" s="20">
        <f t="shared" si="118"/>
        <v>18.63214792715819</v>
      </c>
      <c r="D483" s="20">
        <f t="shared" si="121"/>
        <v>7.4569758669769462E-2</v>
      </c>
      <c r="E483" s="20">
        <f t="shared" si="122"/>
        <v>1.6235523333283139</v>
      </c>
      <c r="F483" s="20">
        <f t="shared" si="123"/>
        <v>6.2638597282606345E-2</v>
      </c>
      <c r="G483" s="20">
        <f t="shared" si="124"/>
        <v>1.3637839599957837</v>
      </c>
      <c r="I483" s="20">
        <f t="shared" si="119"/>
        <v>-7.2221745486763092E-2</v>
      </c>
      <c r="K483" s="20">
        <f t="shared" si="129"/>
        <v>18.583576584602444</v>
      </c>
      <c r="L483" s="20">
        <f t="shared" si="120"/>
        <v>-6.9855428862336658E-2</v>
      </c>
      <c r="M483" s="20">
        <f t="shared" si="125"/>
        <v>-1.5209107089557297</v>
      </c>
      <c r="N483" s="1">
        <f t="shared" si="130"/>
        <v>152.64970759922738</v>
      </c>
      <c r="P483" s="20">
        <f t="shared" si="131"/>
        <v>-1.3444767397471089</v>
      </c>
      <c r="Q483" s="20">
        <f t="shared" si="126"/>
        <v>-0.38271711504933231</v>
      </c>
      <c r="R483" s="20">
        <f t="shared" si="127"/>
        <v>-8.3326173535670005</v>
      </c>
      <c r="S483" s="20">
        <f t="shared" si="132"/>
        <v>95.361896588321159</v>
      </c>
      <c r="T483" s="1">
        <f t="shared" si="133"/>
        <v>0</v>
      </c>
    </row>
    <row r="484" spans="1:20" x14ac:dyDescent="0.25">
      <c r="A484" s="20">
        <f t="shared" si="128"/>
        <v>4.7899999999999423</v>
      </c>
      <c r="C484" s="20">
        <f t="shared" si="118"/>
        <v>18.623181574025878</v>
      </c>
      <c r="D484" s="20">
        <f t="shared" si="121"/>
        <v>7.449800549219214E-2</v>
      </c>
      <c r="E484" s="20">
        <f t="shared" si="122"/>
        <v>1.6219901043368636</v>
      </c>
      <c r="F484" s="20">
        <f t="shared" si="123"/>
        <v>6.25783246134414E-2</v>
      </c>
      <c r="G484" s="20">
        <f t="shared" si="124"/>
        <v>1.3624716876429654</v>
      </c>
      <c r="I484" s="20">
        <f t="shared" si="119"/>
        <v>-7.6743352836235207E-2</v>
      </c>
      <c r="K484" s="20">
        <f t="shared" si="129"/>
        <v>18.568367477512886</v>
      </c>
      <c r="L484" s="20">
        <f t="shared" si="120"/>
        <v>-6.9480975792776317E-2</v>
      </c>
      <c r="M484" s="20">
        <f t="shared" si="125"/>
        <v>-1.5127580185668696</v>
      </c>
      <c r="N484" s="1">
        <f t="shared" si="130"/>
        <v>152.83546731953797</v>
      </c>
      <c r="P484" s="20">
        <f t="shared" si="131"/>
        <v>-1.427802913282779</v>
      </c>
      <c r="Q484" s="20">
        <f t="shared" si="126"/>
        <v>-0.38246754740432298</v>
      </c>
      <c r="R484" s="20">
        <f t="shared" si="127"/>
        <v>-8.3271837013786847</v>
      </c>
      <c r="S484" s="20">
        <f t="shared" si="132"/>
        <v>95.348035190056009</v>
      </c>
      <c r="T484" s="1">
        <f t="shared" si="133"/>
        <v>0</v>
      </c>
    </row>
    <row r="485" spans="1:20" x14ac:dyDescent="0.25">
      <c r="A485" s="20">
        <f t="shared" si="128"/>
        <v>4.7999999999999421</v>
      </c>
      <c r="C485" s="20">
        <f t="shared" si="118"/>
        <v>18.614673179746084</v>
      </c>
      <c r="D485" s="20">
        <f t="shared" si="121"/>
        <v>7.4429949064190329E-2</v>
      </c>
      <c r="E485" s="20">
        <f t="shared" si="122"/>
        <v>1.6205083619462297</v>
      </c>
      <c r="F485" s="20">
        <f t="shared" si="123"/>
        <v>6.252115721391989E-2</v>
      </c>
      <c r="G485" s="20">
        <f t="shared" si="124"/>
        <v>1.3612270240348332</v>
      </c>
      <c r="I485" s="20">
        <f t="shared" si="119"/>
        <v>-8.1265958686560988E-2</v>
      </c>
      <c r="K485" s="20">
        <f t="shared" si="129"/>
        <v>18.553239897327217</v>
      </c>
      <c r="L485" s="20">
        <f t="shared" si="120"/>
        <v>-6.9109059615842253E-2</v>
      </c>
      <c r="M485" s="20">
        <f t="shared" si="125"/>
        <v>-1.5046605620692848</v>
      </c>
      <c r="N485" s="1">
        <f t="shared" si="130"/>
        <v>153.02107535641218</v>
      </c>
      <c r="P485" s="20">
        <f t="shared" si="131"/>
        <v>-1.5110747502965658</v>
      </c>
      <c r="Q485" s="20">
        <f t="shared" si="126"/>
        <v>-0.3822165132405303</v>
      </c>
      <c r="R485" s="20">
        <f t="shared" si="127"/>
        <v>-8.3217181197589873</v>
      </c>
      <c r="S485" s="20">
        <f t="shared" si="132"/>
        <v>95.333340801738117</v>
      </c>
      <c r="T485" s="1">
        <f t="shared" si="133"/>
        <v>0</v>
      </c>
    </row>
    <row r="486" spans="1:20" x14ac:dyDescent="0.25">
      <c r="A486" s="20">
        <f t="shared" si="128"/>
        <v>4.8099999999999419</v>
      </c>
      <c r="C486" s="20">
        <f t="shared" si="118"/>
        <v>18.606621866515699</v>
      </c>
      <c r="D486" s="20">
        <f t="shared" si="121"/>
        <v>7.4365577347253797E-2</v>
      </c>
      <c r="E486" s="20">
        <f t="shared" si="122"/>
        <v>1.6191068440508121</v>
      </c>
      <c r="F486" s="20">
        <f t="shared" si="123"/>
        <v>6.2467084971693197E-2</v>
      </c>
      <c r="G486" s="20">
        <f t="shared" si="124"/>
        <v>1.3600497490026824</v>
      </c>
      <c r="I486" s="20">
        <f t="shared" si="119"/>
        <v>-8.5789308586170399E-2</v>
      </c>
      <c r="K486" s="20">
        <f t="shared" si="129"/>
        <v>18.538193291706524</v>
      </c>
      <c r="L486" s="20">
        <f t="shared" si="120"/>
        <v>-6.8739650148967227E-2</v>
      </c>
      <c r="M486" s="20">
        <f t="shared" si="125"/>
        <v>-1.4966176823202098</v>
      </c>
      <c r="N486" s="1">
        <f t="shared" si="130"/>
        <v>153.20653252235735</v>
      </c>
      <c r="P486" s="20">
        <f t="shared" si="131"/>
        <v>-1.5942919314941557</v>
      </c>
      <c r="Q486" s="20">
        <f t="shared" si="126"/>
        <v>-0.38196399817839044</v>
      </c>
      <c r="R486" s="20">
        <f t="shared" si="127"/>
        <v>-8.3162202956322755</v>
      </c>
      <c r="S486" s="20">
        <f t="shared" si="132"/>
        <v>95.317813968329176</v>
      </c>
      <c r="T486" s="1">
        <f t="shared" si="133"/>
        <v>0</v>
      </c>
    </row>
    <row r="487" spans="1:20" x14ac:dyDescent="0.25">
      <c r="A487" s="20">
        <f t="shared" si="128"/>
        <v>4.8199999999999417</v>
      </c>
      <c r="C487" s="20">
        <f t="shared" si="118"/>
        <v>18.599026725147038</v>
      </c>
      <c r="D487" s="20">
        <f t="shared" si="121"/>
        <v>7.4304878333855157E-2</v>
      </c>
      <c r="E487" s="20">
        <f t="shared" si="122"/>
        <v>1.6177852892195768</v>
      </c>
      <c r="F487" s="20">
        <f t="shared" si="123"/>
        <v>6.241609780043833E-2</v>
      </c>
      <c r="G487" s="20">
        <f t="shared" si="124"/>
        <v>1.3589396429444445</v>
      </c>
      <c r="I487" s="20">
        <f t="shared" si="119"/>
        <v>-9.0313148119980119E-2</v>
      </c>
      <c r="K487" s="20">
        <f t="shared" si="129"/>
        <v>18.523227114883323</v>
      </c>
      <c r="L487" s="20">
        <f t="shared" si="120"/>
        <v>-6.8372717271855413E-2</v>
      </c>
      <c r="M487" s="20">
        <f t="shared" si="125"/>
        <v>-1.4886287235326674</v>
      </c>
      <c r="N487" s="1">
        <f t="shared" si="130"/>
        <v>153.39183962439031</v>
      </c>
      <c r="P487" s="20">
        <f t="shared" si="131"/>
        <v>-1.6774541344504785</v>
      </c>
      <c r="Q487" s="20">
        <f t="shared" si="126"/>
        <v>-0.38170998798477795</v>
      </c>
      <c r="R487" s="20">
        <f t="shared" si="127"/>
        <v>-8.310689919111212</v>
      </c>
      <c r="S487" s="20">
        <f t="shared" si="132"/>
        <v>95.301455237999463</v>
      </c>
      <c r="T487" s="1">
        <f t="shared" si="133"/>
        <v>0</v>
      </c>
    </row>
    <row r="488" spans="1:20" x14ac:dyDescent="0.25">
      <c r="A488" s="20">
        <f t="shared" si="128"/>
        <v>4.8299999999999415</v>
      </c>
      <c r="C488" s="20">
        <f t="shared" si="118"/>
        <v>18.591886815101873</v>
      </c>
      <c r="D488" s="20">
        <f t="shared" si="121"/>
        <v>7.4247840046480967E-2</v>
      </c>
      <c r="E488" s="20">
        <f t="shared" si="122"/>
        <v>1.6165434366749611</v>
      </c>
      <c r="F488" s="20">
        <f t="shared" si="123"/>
        <v>6.2368185639044019E-2</v>
      </c>
      <c r="G488" s="20">
        <f t="shared" si="124"/>
        <v>1.3578964868069676</v>
      </c>
      <c r="I488" s="20">
        <f t="shared" si="119"/>
        <v>-9.4837222980778388E-2</v>
      </c>
      <c r="K488" s="20">
        <f t="shared" si="129"/>
        <v>18.508340827647995</v>
      </c>
      <c r="L488" s="20">
        <f t="shared" si="120"/>
        <v>-6.8008230928712624E-2</v>
      </c>
      <c r="M488" s="20">
        <f t="shared" si="125"/>
        <v>-1.4806930313240285</v>
      </c>
      <c r="N488" s="1">
        <f t="shared" si="130"/>
        <v>153.57699746410296</v>
      </c>
      <c r="P488" s="20">
        <f t="shared" si="131"/>
        <v>-1.7605610336415907</v>
      </c>
      <c r="Q488" s="20">
        <f t="shared" si="126"/>
        <v>-0.38145446857598808</v>
      </c>
      <c r="R488" s="20">
        <f t="shared" si="127"/>
        <v>-8.3051266835616833</v>
      </c>
      <c r="S488" s="20">
        <f t="shared" si="132"/>
        <v>95.284265162159002</v>
      </c>
      <c r="T488" s="1">
        <f t="shared" si="133"/>
        <v>0</v>
      </c>
    </row>
    <row r="489" spans="1:20" x14ac:dyDescent="0.25">
      <c r="A489" s="20">
        <f t="shared" si="128"/>
        <v>4.8399999999999412</v>
      </c>
      <c r="C489" s="20">
        <f t="shared" si="118"/>
        <v>18.585201164537889</v>
      </c>
      <c r="D489" s="20">
        <f t="shared" si="121"/>
        <v>7.4194450536672951E-2</v>
      </c>
      <c r="E489" s="20">
        <f t="shared" si="122"/>
        <v>1.6153810262719999</v>
      </c>
      <c r="F489" s="20">
        <f t="shared" si="123"/>
        <v>6.2323338450805274E-2</v>
      </c>
      <c r="G489" s="20">
        <f t="shared" si="124"/>
        <v>1.3569200620684798</v>
      </c>
      <c r="I489" s="20">
        <f t="shared" si="119"/>
        <v>-9.9361279040550449E-2</v>
      </c>
      <c r="K489" s="20">
        <f t="shared" si="129"/>
        <v>18.493533897334753</v>
      </c>
      <c r="L489" s="20">
        <f t="shared" si="120"/>
        <v>-6.7646161130515761E-2</v>
      </c>
      <c r="M489" s="20">
        <f t="shared" si="125"/>
        <v>-1.4728099527654206</v>
      </c>
      <c r="N489" s="1">
        <f t="shared" si="130"/>
        <v>153.76200683772788</v>
      </c>
      <c r="P489" s="20">
        <f t="shared" si="131"/>
        <v>-1.8436123004772076</v>
      </c>
      <c r="Q489" s="20">
        <f t="shared" si="126"/>
        <v>-0.38119742602066387</v>
      </c>
      <c r="R489" s="20">
        <f t="shared" si="127"/>
        <v>-8.2995302856665329</v>
      </c>
      <c r="S489" s="20">
        <f t="shared" si="132"/>
        <v>95.266244295488406</v>
      </c>
      <c r="T489" s="1">
        <f t="shared" si="133"/>
        <v>0</v>
      </c>
    </row>
    <row r="490" spans="1:20" x14ac:dyDescent="0.25">
      <c r="A490" s="20">
        <f t="shared" si="128"/>
        <v>4.849999999999941</v>
      </c>
      <c r="C490" s="20">
        <f t="shared" si="118"/>
        <v>18.57896877036756</v>
      </c>
      <c r="D490" s="20">
        <f t="shared" si="121"/>
        <v>7.4144697884079416E-2</v>
      </c>
      <c r="E490" s="20">
        <f t="shared" si="122"/>
        <v>1.6142977984776707</v>
      </c>
      <c r="F490" s="20">
        <f t="shared" si="123"/>
        <v>6.2281546222626709E-2</v>
      </c>
      <c r="G490" s="20">
        <f t="shared" si="124"/>
        <v>1.3560101507212434</v>
      </c>
      <c r="I490" s="20">
        <f t="shared" si="119"/>
        <v>-0.10388506242169249</v>
      </c>
      <c r="K490" s="20">
        <f t="shared" si="129"/>
        <v>18.478805797807098</v>
      </c>
      <c r="L490" s="20">
        <f t="shared" si="120"/>
        <v>-6.7286477957320345E-2</v>
      </c>
      <c r="M490" s="20">
        <f t="shared" si="125"/>
        <v>-1.4649788364319691</v>
      </c>
      <c r="N490" s="1">
        <f t="shared" si="130"/>
        <v>153.9468685362036</v>
      </c>
      <c r="P490" s="20">
        <f t="shared" si="131"/>
        <v>-1.9266076033338728</v>
      </c>
      <c r="Q490" s="20">
        <f t="shared" si="126"/>
        <v>-0.3809388465426658</v>
      </c>
      <c r="R490" s="20">
        <f t="shared" si="127"/>
        <v>-8.2939004254880437</v>
      </c>
      <c r="S490" s="20">
        <f t="shared" si="132"/>
        <v>95.247393195969352</v>
      </c>
      <c r="T490" s="1">
        <f t="shared" si="133"/>
        <v>0</v>
      </c>
    </row>
    <row r="491" spans="1:20" x14ac:dyDescent="0.25">
      <c r="A491" s="20">
        <f t="shared" si="128"/>
        <v>4.8599999999999408</v>
      </c>
      <c r="C491" s="20">
        <f t="shared" si="118"/>
        <v>18.573188598329402</v>
      </c>
      <c r="D491" s="20">
        <f t="shared" si="121"/>
        <v>7.4098570195517258E-2</v>
      </c>
      <c r="E491" s="20">
        <f t="shared" si="122"/>
        <v>1.6132934943504738</v>
      </c>
      <c r="F491" s="20">
        <f t="shared" si="123"/>
        <v>6.22427989642345E-2</v>
      </c>
      <c r="G491" s="20">
        <f t="shared" si="124"/>
        <v>1.355166535254398</v>
      </c>
      <c r="I491" s="20">
        <f t="shared" si="119"/>
        <v>-0.10840831956806288</v>
      </c>
      <c r="K491" s="20">
        <f t="shared" si="129"/>
        <v>18.464156009442778</v>
      </c>
      <c r="L491" s="20">
        <f t="shared" si="120"/>
        <v>-6.6929151560604028E-2</v>
      </c>
      <c r="M491" s="20">
        <f t="shared" si="125"/>
        <v>-1.4571990324538218</v>
      </c>
      <c r="N491" s="1">
        <f t="shared" si="130"/>
        <v>154.13158334523985</v>
      </c>
      <c r="P491" s="20">
        <f t="shared" si="131"/>
        <v>-2.0095466075887534</v>
      </c>
      <c r="Q491" s="20">
        <f t="shared" si="126"/>
        <v>-0.38067871652388358</v>
      </c>
      <c r="R491" s="20">
        <f t="shared" si="127"/>
        <v>-8.2882368065291434</v>
      </c>
      <c r="S491" s="20">
        <f t="shared" si="132"/>
        <v>95.227712424914742</v>
      </c>
      <c r="T491" s="1">
        <f t="shared" si="133"/>
        <v>0</v>
      </c>
    </row>
    <row r="492" spans="1:20" x14ac:dyDescent="0.25">
      <c r="A492" s="20">
        <f t="shared" si="128"/>
        <v>4.8699999999999406</v>
      </c>
      <c r="C492" s="20">
        <f t="shared" si="118"/>
        <v>18.567859583071492</v>
      </c>
      <c r="D492" s="20">
        <f t="shared" si="121"/>
        <v>7.4056055604043908E-2</v>
      </c>
      <c r="E492" s="20">
        <f t="shared" si="122"/>
        <v>1.6123678555202245</v>
      </c>
      <c r="F492" s="20">
        <f t="shared" si="123"/>
        <v>6.2207086707396879E-2</v>
      </c>
      <c r="G492" s="20">
        <f t="shared" si="124"/>
        <v>1.3543889986369886</v>
      </c>
      <c r="I492" s="20">
        <f t="shared" si="119"/>
        <v>-0.11293079731581863</v>
      </c>
      <c r="K492" s="20">
        <f t="shared" si="129"/>
        <v>18.449584019118241</v>
      </c>
      <c r="L492" s="20">
        <f t="shared" si="120"/>
        <v>-6.6574152165644371E-2</v>
      </c>
      <c r="M492" s="20">
        <f t="shared" si="125"/>
        <v>-1.4494698925679157</v>
      </c>
      <c r="N492" s="1">
        <f t="shared" si="130"/>
        <v>154.31615204538267</v>
      </c>
      <c r="P492" s="20">
        <f t="shared" si="131"/>
        <v>-2.0924289756540446</v>
      </c>
      <c r="Q492" s="20">
        <f t="shared" si="126"/>
        <v>-0.38041702250698828</v>
      </c>
      <c r="R492" s="20">
        <f t="shared" si="127"/>
        <v>-8.2825391357933444</v>
      </c>
      <c r="S492" s="20">
        <f t="shared" si="132"/>
        <v>95.207202546998531</v>
      </c>
      <c r="T492" s="1">
        <f t="shared" si="133"/>
        <v>0</v>
      </c>
    </row>
    <row r="493" spans="1:20" x14ac:dyDescent="0.25">
      <c r="A493" s="20">
        <f t="shared" si="128"/>
        <v>4.8799999999999404</v>
      </c>
      <c r="C493" s="20">
        <f t="shared" ref="C493:C556" si="134">SQRT((K493^2)+(P493^2))</f>
        <v>18.562980628247246</v>
      </c>
      <c r="D493" s="20">
        <f t="shared" si="121"/>
        <v>7.4017142268039932E-2</v>
      </c>
      <c r="E493" s="20">
        <f t="shared" si="122"/>
        <v>1.6115206241680804</v>
      </c>
      <c r="F493" s="20">
        <f t="shared" si="123"/>
        <v>6.2174399505153549E-2</v>
      </c>
      <c r="G493" s="20">
        <f t="shared" si="124"/>
        <v>1.3536773243011877</v>
      </c>
      <c r="I493" s="20">
        <f t="shared" ref="I493:I556" si="135">ATAN(P493/K493)</f>
        <v>-0.11745224296398656</v>
      </c>
      <c r="K493" s="20">
        <f t="shared" si="129"/>
        <v>18.43508932019256</v>
      </c>
      <c r="L493" s="20">
        <f t="shared" ref="L493:L556" si="136">-(D493*COS(I493))-(F493*SIN(I493))</f>
        <v>-6.6221450073928864E-2</v>
      </c>
      <c r="M493" s="20">
        <f t="shared" si="125"/>
        <v>-1.4417907701704522</v>
      </c>
      <c r="N493" s="1">
        <f t="shared" si="130"/>
        <v>154.5005754120792</v>
      </c>
      <c r="P493" s="20">
        <f t="shared" si="131"/>
        <v>-2.1752543670119779</v>
      </c>
      <c r="Q493" s="20">
        <f t="shared" si="126"/>
        <v>-0.38015375119812367</v>
      </c>
      <c r="R493" s="20">
        <f t="shared" si="127"/>
        <v>-8.2768071238433194</v>
      </c>
      <c r="S493" s="20">
        <f t="shared" si="132"/>
        <v>95.185864130285211</v>
      </c>
      <c r="T493" s="1">
        <f t="shared" si="133"/>
        <v>0</v>
      </c>
    </row>
    <row r="494" spans="1:20" x14ac:dyDescent="0.25">
      <c r="A494" s="20">
        <f t="shared" si="128"/>
        <v>4.8899999999999402</v>
      </c>
      <c r="C494" s="20">
        <f t="shared" si="134"/>
        <v>18.558550606623356</v>
      </c>
      <c r="D494" s="20">
        <f t="shared" si="121"/>
        <v>7.3981818370302252E-2</v>
      </c>
      <c r="E494" s="20">
        <f t="shared" si="122"/>
        <v>1.6107515430067985</v>
      </c>
      <c r="F494" s="20">
        <f t="shared" si="123"/>
        <v>6.2144727431053891E-2</v>
      </c>
      <c r="G494" s="20">
        <f t="shared" si="124"/>
        <v>1.3530312961257107</v>
      </c>
      <c r="I494" s="20">
        <f t="shared" si="135"/>
        <v>-0.12197240434471741</v>
      </c>
      <c r="K494" s="20">
        <f t="shared" si="129"/>
        <v>18.420671412490854</v>
      </c>
      <c r="L494" s="20">
        <f t="shared" si="136"/>
        <v>-6.5871015665595931E-2</v>
      </c>
      <c r="M494" s="20">
        <f t="shared" si="125"/>
        <v>-1.4341610203700399</v>
      </c>
      <c r="N494" s="1">
        <f t="shared" si="130"/>
        <v>154.6848542157426</v>
      </c>
      <c r="P494" s="20">
        <f t="shared" si="131"/>
        <v>-2.258022438250411</v>
      </c>
      <c r="Q494" s="20">
        <f t="shared" si="126"/>
        <v>-0.37988888946953586</v>
      </c>
      <c r="R494" s="20">
        <f t="shared" si="127"/>
        <v>-8.2710404848581724</v>
      </c>
      <c r="S494" s="20">
        <f t="shared" si="132"/>
        <v>95.163697746258904</v>
      </c>
      <c r="T494" s="1">
        <f t="shared" si="133"/>
        <v>0</v>
      </c>
    </row>
    <row r="495" spans="1:20" x14ac:dyDescent="0.25">
      <c r="A495" s="20">
        <f t="shared" si="128"/>
        <v>4.89999999999994</v>
      </c>
      <c r="C495" s="20">
        <f t="shared" si="134"/>
        <v>18.554568360199774</v>
      </c>
      <c r="D495" s="20">
        <f t="shared" si="121"/>
        <v>7.3950072117147311E-2</v>
      </c>
      <c r="E495" s="20">
        <f t="shared" si="122"/>
        <v>1.6100603552612087</v>
      </c>
      <c r="F495" s="20">
        <f t="shared" si="123"/>
        <v>6.2118060578403744E-2</v>
      </c>
      <c r="G495" s="20">
        <f t="shared" si="124"/>
        <v>1.3524506984194153</v>
      </c>
      <c r="I495" s="20">
        <f t="shared" si="135"/>
        <v>-0.12649102989317379</v>
      </c>
      <c r="K495" s="20">
        <f t="shared" si="129"/>
        <v>18.406329802287154</v>
      </c>
      <c r="L495" s="20">
        <f t="shared" si="136"/>
        <v>-6.5522819401903923E-2</v>
      </c>
      <c r="M495" s="20">
        <f t="shared" si="125"/>
        <v>-1.4265800000414528</v>
      </c>
      <c r="N495" s="1">
        <f t="shared" si="130"/>
        <v>154.86898922181649</v>
      </c>
      <c r="P495" s="20">
        <f t="shared" si="131"/>
        <v>-2.3407328430989929</v>
      </c>
      <c r="Q495" s="20">
        <f t="shared" si="126"/>
        <v>-0.3796224243621405</v>
      </c>
      <c r="R495" s="20">
        <f t="shared" si="127"/>
        <v>-8.2652389366893217</v>
      </c>
      <c r="S495" s="20">
        <f t="shared" si="132"/>
        <v>95.140703969852154</v>
      </c>
      <c r="T495" s="1">
        <f t="shared" si="133"/>
        <v>0</v>
      </c>
    </row>
    <row r="496" spans="1:20" x14ac:dyDescent="0.25">
      <c r="A496" s="20">
        <f t="shared" si="128"/>
        <v>4.9099999999999397</v>
      </c>
      <c r="C496" s="20">
        <f t="shared" si="134"/>
        <v>18.551032700341654</v>
      </c>
      <c r="D496" s="20">
        <f t="shared" si="121"/>
        <v>7.3921891737525253E-2</v>
      </c>
      <c r="E496" s="20">
        <f t="shared" si="122"/>
        <v>1.6094468046489279</v>
      </c>
      <c r="F496" s="20">
        <f t="shared" si="123"/>
        <v>6.2094389059521221E-2</v>
      </c>
      <c r="G496" s="20">
        <f t="shared" si="124"/>
        <v>1.3519353159050995</v>
      </c>
      <c r="I496" s="20">
        <f t="shared" si="135"/>
        <v>-0.13100786871700074</v>
      </c>
      <c r="K496" s="20">
        <f t="shared" si="129"/>
        <v>18.392064002286737</v>
      </c>
      <c r="L496" s="20">
        <f t="shared" si="136"/>
        <v>-6.5176831827727433E-2</v>
      </c>
      <c r="M496" s="20">
        <f t="shared" si="125"/>
        <v>-1.4190470678799789</v>
      </c>
      <c r="N496" s="1">
        <f t="shared" si="130"/>
        <v>155.05298119083935</v>
      </c>
      <c r="P496" s="20">
        <f t="shared" si="131"/>
        <v>-2.4233852324658862</v>
      </c>
      <c r="Q496" s="20">
        <f t="shared" si="126"/>
        <v>-0.37935434308802518</v>
      </c>
      <c r="R496" s="20">
        <f t="shared" si="127"/>
        <v>-8.2594022009149839</v>
      </c>
      <c r="S496" s="20">
        <f t="shared" si="132"/>
        <v>95.116883379474331</v>
      </c>
      <c r="T496" s="1">
        <f t="shared" si="133"/>
        <v>0</v>
      </c>
    </row>
    <row r="497" spans="1:20" x14ac:dyDescent="0.25">
      <c r="A497" s="20">
        <f t="shared" si="128"/>
        <v>4.9199999999999395</v>
      </c>
      <c r="C497" s="20">
        <f t="shared" si="134"/>
        <v>18.547942407923173</v>
      </c>
      <c r="D497" s="20">
        <f t="shared" si="121"/>
        <v>7.3897265482144384E-2</v>
      </c>
      <c r="E497" s="20">
        <f t="shared" si="122"/>
        <v>1.6089106353612974</v>
      </c>
      <c r="F497" s="20">
        <f t="shared" si="123"/>
        <v>6.2073703005001278E-2</v>
      </c>
      <c r="G497" s="20">
        <f t="shared" si="124"/>
        <v>1.3514849337034898</v>
      </c>
      <c r="I497" s="20">
        <f t="shared" si="135"/>
        <v>-0.13552267066533061</v>
      </c>
      <c r="K497" s="20">
        <f t="shared" si="129"/>
        <v>18.377873531607939</v>
      </c>
      <c r="L497" s="20">
        <f t="shared" si="136"/>
        <v>-6.4833023574078233E-2</v>
      </c>
      <c r="M497" s="20">
        <f t="shared" si="125"/>
        <v>-1.4115615844563081</v>
      </c>
      <c r="N497" s="1">
        <f t="shared" si="130"/>
        <v>155.23683087850884</v>
      </c>
      <c r="P497" s="20">
        <f t="shared" si="131"/>
        <v>-2.5059792544750361</v>
      </c>
      <c r="Q497" s="20">
        <f t="shared" si="126"/>
        <v>-0.37908463303288803</v>
      </c>
      <c r="R497" s="20">
        <f t="shared" si="127"/>
        <v>-8.2535300028932728</v>
      </c>
      <c r="S497" s="20">
        <f t="shared" si="132"/>
        <v>95.092236557039627</v>
      </c>
      <c r="T497" s="1">
        <f t="shared" si="133"/>
        <v>0</v>
      </c>
    </row>
    <row r="498" spans="1:20" x14ac:dyDescent="0.25">
      <c r="A498" s="20">
        <f t="shared" si="128"/>
        <v>4.9299999999999393</v>
      </c>
      <c r="C498" s="20">
        <f t="shared" si="134"/>
        <v>18.545296233483057</v>
      </c>
      <c r="D498" s="20">
        <f t="shared" si="121"/>
        <v>7.387618162260616E-2</v>
      </c>
      <c r="E498" s="20">
        <f t="shared" si="122"/>
        <v>1.6084515920445497</v>
      </c>
      <c r="F498" s="20">
        <f t="shared" si="123"/>
        <v>6.205599256298918E-2</v>
      </c>
      <c r="G498" s="20">
        <f t="shared" si="124"/>
        <v>1.3510993373174218</v>
      </c>
      <c r="I498" s="20">
        <f t="shared" si="135"/>
        <v>-0.14003518639727311</v>
      </c>
      <c r="K498" s="20">
        <f t="shared" si="129"/>
        <v>18.363757915763376</v>
      </c>
      <c r="L498" s="20">
        <f t="shared" si="136"/>
        <v>-6.4491365360648756E-2</v>
      </c>
      <c r="M498" s="20">
        <f t="shared" si="125"/>
        <v>-1.4041229122719086</v>
      </c>
      <c r="N498" s="1">
        <f t="shared" si="130"/>
        <v>155.42053903574569</v>
      </c>
      <c r="P498" s="20">
        <f t="shared" si="131"/>
        <v>-2.5885145545039689</v>
      </c>
      <c r="Q498" s="20">
        <f t="shared" si="126"/>
        <v>-0.37881328175840967</v>
      </c>
      <c r="R498" s="20">
        <f t="shared" si="127"/>
        <v>-8.24762207181384</v>
      </c>
      <c r="S498" s="20">
        <f t="shared" si="132"/>
        <v>95.066764087994727</v>
      </c>
      <c r="T498" s="1">
        <f t="shared" si="133"/>
        <v>0</v>
      </c>
    </row>
    <row r="499" spans="1:20" x14ac:dyDescent="0.25">
      <c r="A499" s="20">
        <f t="shared" si="128"/>
        <v>4.9399999999999391</v>
      </c>
      <c r="C499" s="20">
        <f t="shared" si="134"/>
        <v>18.543092897391745</v>
      </c>
      <c r="D499" s="20">
        <f t="shared" si="121"/>
        <v>7.3858628450551161E-2</v>
      </c>
      <c r="E499" s="20">
        <f t="shared" si="122"/>
        <v>1.6080694197812142</v>
      </c>
      <c r="F499" s="20">
        <f t="shared" si="123"/>
        <v>6.2041247898462978E-2</v>
      </c>
      <c r="G499" s="20">
        <f t="shared" si="124"/>
        <v>1.3507783126162198</v>
      </c>
      <c r="I499" s="20">
        <f t="shared" si="135"/>
        <v>-0.14454516744984228</v>
      </c>
      <c r="K499" s="20">
        <f t="shared" si="129"/>
        <v>18.349716686640658</v>
      </c>
      <c r="L499" s="20">
        <f t="shared" si="136"/>
        <v>-6.4151827998377375E-2</v>
      </c>
      <c r="M499" s="20">
        <f t="shared" si="125"/>
        <v>-1.3967304158148788</v>
      </c>
      <c r="N499" s="1">
        <f t="shared" si="130"/>
        <v>155.60410640875773</v>
      </c>
      <c r="P499" s="20">
        <f t="shared" si="131"/>
        <v>-2.6709907752221071</v>
      </c>
      <c r="Q499" s="20">
        <f t="shared" si="126"/>
        <v>-0.37854027700455917</v>
      </c>
      <c r="R499" s="20">
        <f t="shared" si="127"/>
        <v>-8.2416781407480766</v>
      </c>
      <c r="S499" s="20">
        <f t="shared" si="132"/>
        <v>95.040466561346108</v>
      </c>
      <c r="T499" s="1">
        <f t="shared" si="133"/>
        <v>0</v>
      </c>
    </row>
    <row r="500" spans="1:20" x14ac:dyDescent="0.25">
      <c r="A500" s="20">
        <f t="shared" si="128"/>
        <v>4.9499999999999389</v>
      </c>
      <c r="C500" s="20">
        <f t="shared" si="134"/>
        <v>18.541331090029985</v>
      </c>
      <c r="D500" s="20">
        <f t="shared" si="121"/>
        <v>7.3844594276815168E-2</v>
      </c>
      <c r="E500" s="20">
        <f t="shared" si="122"/>
        <v>1.6077638640717433</v>
      </c>
      <c r="F500" s="20">
        <f t="shared" si="123"/>
        <v>6.2029459192524741E-2</v>
      </c>
      <c r="G500" s="20">
        <f t="shared" si="124"/>
        <v>1.3505216458202645</v>
      </c>
      <c r="I500" s="20">
        <f t="shared" si="135"/>
        <v>-0.14905236630527396</v>
      </c>
      <c r="K500" s="20">
        <f t="shared" si="129"/>
        <v>18.335749382482508</v>
      </c>
      <c r="L500" s="20">
        <f t="shared" si="136"/>
        <v>-6.3814382392031757E-2</v>
      </c>
      <c r="M500" s="20">
        <f t="shared" si="125"/>
        <v>-1.3893834616161933</v>
      </c>
      <c r="N500" s="1">
        <f t="shared" si="130"/>
        <v>155.78753373910334</v>
      </c>
      <c r="P500" s="20">
        <f t="shared" si="131"/>
        <v>-2.7534075566295879</v>
      </c>
      <c r="Q500" s="20">
        <f t="shared" si="126"/>
        <v>-0.37826560669183201</v>
      </c>
      <c r="R500" s="20">
        <f t="shared" si="127"/>
        <v>-8.2356979466978455</v>
      </c>
      <c r="S500" s="20">
        <f t="shared" si="132"/>
        <v>95.013344569686851</v>
      </c>
      <c r="T500" s="1">
        <f t="shared" si="133"/>
        <v>0</v>
      </c>
    </row>
    <row r="501" spans="1:20" x14ac:dyDescent="0.25">
      <c r="A501" s="20">
        <f t="shared" si="128"/>
        <v>4.9599999999999387</v>
      </c>
      <c r="C501" s="20">
        <f t="shared" si="134"/>
        <v>18.540009471978802</v>
      </c>
      <c r="D501" s="20">
        <f t="shared" si="121"/>
        <v>7.3834067430596506E-2</v>
      </c>
      <c r="E501" s="20">
        <f t="shared" si="122"/>
        <v>1.6075346708163838</v>
      </c>
      <c r="F501" s="20">
        <f t="shared" si="123"/>
        <v>6.2020616641701061E-2</v>
      </c>
      <c r="G501" s="20">
        <f t="shared" si="124"/>
        <v>1.3503291234857624</v>
      </c>
      <c r="I501" s="20">
        <f t="shared" si="135"/>
        <v>-0.15355653645768616</v>
      </c>
      <c r="K501" s="20">
        <f t="shared" si="129"/>
        <v>18.321855547866345</v>
      </c>
      <c r="L501" s="20">
        <f t="shared" si="136"/>
        <v>-6.3478999542810027E-2</v>
      </c>
      <c r="M501" s="20">
        <f t="shared" si="125"/>
        <v>-1.3820814183063364</v>
      </c>
      <c r="N501" s="1">
        <f t="shared" si="130"/>
        <v>155.97082176375508</v>
      </c>
      <c r="P501" s="20">
        <f t="shared" si="131"/>
        <v>-2.8357645360965664</v>
      </c>
      <c r="Q501" s="20">
        <f t="shared" si="126"/>
        <v>-0.37798925892342006</v>
      </c>
      <c r="R501" s="20">
        <f t="shared" si="127"/>
        <v>-8.2296812306427185</v>
      </c>
      <c r="S501" s="20">
        <f t="shared" si="132"/>
        <v>94.985398709223219</v>
      </c>
      <c r="T501" s="1">
        <f t="shared" si="133"/>
        <v>0</v>
      </c>
    </row>
    <row r="502" spans="1:20" x14ac:dyDescent="0.25">
      <c r="A502" s="20">
        <f t="shared" si="128"/>
        <v>4.9699999999999385</v>
      </c>
      <c r="C502" s="20">
        <f t="shared" si="134"/>
        <v>18.539126674220579</v>
      </c>
      <c r="D502" s="20">
        <f t="shared" si="121"/>
        <v>7.3827036258633613E-2</v>
      </c>
      <c r="E502" s="20">
        <f t="shared" si="122"/>
        <v>1.60738158629727</v>
      </c>
      <c r="F502" s="20">
        <f t="shared" si="123"/>
        <v>6.2014710457252237E-2</v>
      </c>
      <c r="G502" s="20">
        <f t="shared" si="124"/>
        <v>1.3502005324897068</v>
      </c>
      <c r="I502" s="20">
        <f t="shared" si="135"/>
        <v>-0.15805743247903811</v>
      </c>
      <c r="K502" s="20">
        <f t="shared" si="129"/>
        <v>18.308034733683282</v>
      </c>
      <c r="L502" s="20">
        <f t="shared" si="136"/>
        <v>-6.3145650550956473E-2</v>
      </c>
      <c r="M502" s="20">
        <f t="shared" si="125"/>
        <v>-1.3748236566722507</v>
      </c>
      <c r="N502" s="1">
        <f t="shared" si="130"/>
        <v>156.15397121516284</v>
      </c>
      <c r="P502" s="20">
        <f t="shared" si="131"/>
        <v>-2.9180613484029938</v>
      </c>
      <c r="Q502" s="20">
        <f t="shared" si="126"/>
        <v>-0.37771122198731277</v>
      </c>
      <c r="R502" s="20">
        <f t="shared" si="127"/>
        <v>-8.2236277375857352</v>
      </c>
      <c r="S502" s="20">
        <f t="shared" si="132"/>
        <v>94.956629579800719</v>
      </c>
      <c r="T502" s="1">
        <f t="shared" si="133"/>
        <v>0</v>
      </c>
    </row>
    <row r="503" spans="1:20" x14ac:dyDescent="0.25">
      <c r="A503" s="20">
        <f t="shared" si="128"/>
        <v>4.9799999999999383</v>
      </c>
      <c r="C503" s="20">
        <f t="shared" si="134"/>
        <v>18.538681298351172</v>
      </c>
      <c r="D503" s="20">
        <f t="shared" si="121"/>
        <v>7.3823489124393626E-2</v>
      </c>
      <c r="E503" s="20">
        <f t="shared" si="122"/>
        <v>1.6073043571607584</v>
      </c>
      <c r="F503" s="20">
        <f t="shared" si="123"/>
        <v>6.2011730864490647E-2</v>
      </c>
      <c r="G503" s="20">
        <f t="shared" si="124"/>
        <v>1.3501356600150369</v>
      </c>
      <c r="I503" s="20">
        <f t="shared" si="135"/>
        <v>-0.162554810084342</v>
      </c>
      <c r="K503" s="20">
        <f t="shared" si="129"/>
        <v>18.294286497116559</v>
      </c>
      <c r="L503" s="20">
        <f t="shared" si="136"/>
        <v>-6.2814306618390769E-2</v>
      </c>
      <c r="M503" s="20">
        <f t="shared" si="125"/>
        <v>-1.3676095497145824</v>
      </c>
      <c r="N503" s="1">
        <f t="shared" si="130"/>
        <v>156.33698282131684</v>
      </c>
      <c r="P503" s="20">
        <f t="shared" si="131"/>
        <v>-3.0002976257788512</v>
      </c>
      <c r="Q503" s="20">
        <f t="shared" si="126"/>
        <v>-0.37743148435832841</v>
      </c>
      <c r="R503" s="20">
        <f t="shared" si="127"/>
        <v>-8.2175372165976146</v>
      </c>
      <c r="S503" s="20">
        <f t="shared" si="132"/>
        <v>94.927037784929809</v>
      </c>
      <c r="T503" s="1">
        <f t="shared" si="133"/>
        <v>0</v>
      </c>
    </row>
    <row r="504" spans="1:20" x14ac:dyDescent="0.25">
      <c r="A504" s="20">
        <f t="shared" si="128"/>
        <v>4.989999999999938</v>
      </c>
      <c r="C504" s="20">
        <f t="shared" si="134"/>
        <v>18.538671916802855</v>
      </c>
      <c r="D504" s="20">
        <f t="shared" si="121"/>
        <v>7.3823414407271762E-2</v>
      </c>
      <c r="E504" s="20">
        <f t="shared" si="122"/>
        <v>1.6073027303999949</v>
      </c>
      <c r="F504" s="20">
        <f t="shared" si="123"/>
        <v>6.2011668102108279E-2</v>
      </c>
      <c r="G504" s="20">
        <f t="shared" si="124"/>
        <v>1.3501342935359957</v>
      </c>
      <c r="I504" s="20">
        <f t="shared" si="135"/>
        <v>-0.16704842619608506</v>
      </c>
      <c r="K504" s="20">
        <f t="shared" si="129"/>
        <v>18.280610401619413</v>
      </c>
      <c r="L504" s="20">
        <f t="shared" si="136"/>
        <v>-6.2484939051348228E-2</v>
      </c>
      <c r="M504" s="20">
        <f t="shared" si="125"/>
        <v>-1.360438472705165</v>
      </c>
      <c r="N504" s="1">
        <f t="shared" si="130"/>
        <v>156.51985730581052</v>
      </c>
      <c r="P504" s="20">
        <f t="shared" si="131"/>
        <v>-3.0824729979448273</v>
      </c>
      <c r="Q504" s="20">
        <f t="shared" si="126"/>
        <v>-0.37715003470007541</v>
      </c>
      <c r="R504" s="20">
        <f t="shared" si="127"/>
        <v>-8.2114094208594697</v>
      </c>
      <c r="S504" s="20">
        <f t="shared" si="132"/>
        <v>94.896623931811192</v>
      </c>
      <c r="T504" s="1">
        <f t="shared" si="133"/>
        <v>0</v>
      </c>
    </row>
    <row r="505" spans="1:20" x14ac:dyDescent="0.25">
      <c r="A505" s="20">
        <f t="shared" si="128"/>
        <v>4.9999999999999378</v>
      </c>
      <c r="C505" s="20">
        <f t="shared" si="134"/>
        <v>18.539097073077905</v>
      </c>
      <c r="D505" s="20">
        <f t="shared" si="121"/>
        <v>7.3826800501801335E-2</v>
      </c>
      <c r="E505" s="20">
        <f t="shared" si="122"/>
        <v>1.6073764533377168</v>
      </c>
      <c r="F505" s="20">
        <f t="shared" si="123"/>
        <v>6.2014512421513124E-2</v>
      </c>
      <c r="G505" s="20">
        <f t="shared" si="124"/>
        <v>1.3501962208036822</v>
      </c>
      <c r="I505" s="20">
        <f t="shared" si="135"/>
        <v>-0.17153803900781836</v>
      </c>
      <c r="K505" s="20">
        <f t="shared" si="129"/>
        <v>18.26700601689236</v>
      </c>
      <c r="L505" s="20">
        <f t="shared" si="136"/>
        <v>-6.2157519263029218E-2</v>
      </c>
      <c r="M505" s="20">
        <f t="shared" si="125"/>
        <v>-1.3533098032447033</v>
      </c>
      <c r="N505" s="1">
        <f t="shared" si="130"/>
        <v>156.70259538790307</v>
      </c>
      <c r="P505" s="20">
        <f t="shared" si="131"/>
        <v>-3.1645870921534218</v>
      </c>
      <c r="Q505" s="20">
        <f t="shared" si="126"/>
        <v>-0.37686686186684282</v>
      </c>
      <c r="R505" s="20">
        <f t="shared" si="127"/>
        <v>-8.2052441077039582</v>
      </c>
      <c r="S505" s="20">
        <f t="shared" si="132"/>
        <v>94.865388631360702</v>
      </c>
      <c r="T505" s="1">
        <f t="shared" si="133"/>
        <v>0</v>
      </c>
    </row>
    <row r="506" spans="1:20" x14ac:dyDescent="0.25">
      <c r="A506" s="20">
        <f t="shared" si="128"/>
        <v>5.0099999999999376</v>
      </c>
      <c r="C506" s="20">
        <f t="shared" si="134"/>
        <v>18.539955281992651</v>
      </c>
      <c r="D506" s="20">
        <f t="shared" si="121"/>
        <v>7.3833635816874799E-2</v>
      </c>
      <c r="E506" s="20">
        <f t="shared" si="122"/>
        <v>1.6075252736092924</v>
      </c>
      <c r="F506" s="20">
        <f t="shared" si="123"/>
        <v>6.2020254086174835E-2</v>
      </c>
      <c r="G506" s="20">
        <f t="shared" si="124"/>
        <v>1.3503212298318057</v>
      </c>
      <c r="I506" s="20">
        <f t="shared" si="135"/>
        <v>-0.1760234080468713</v>
      </c>
      <c r="K506" s="20">
        <f t="shared" si="129"/>
        <v>18.253472918859913</v>
      </c>
      <c r="L506" s="20">
        <f t="shared" si="136"/>
        <v>-6.1832018776255999E-2</v>
      </c>
      <c r="M506" s="20">
        <f t="shared" si="125"/>
        <v>-1.3462229213206183</v>
      </c>
      <c r="N506" s="1">
        <f t="shared" si="130"/>
        <v>156.88519778258186</v>
      </c>
      <c r="P506" s="20">
        <f t="shared" si="131"/>
        <v>-3.2466395332304616</v>
      </c>
      <c r="Q506" s="20">
        <f t="shared" si="126"/>
        <v>-0.37658195490541946</v>
      </c>
      <c r="R506" s="20">
        <f t="shared" si="127"/>
        <v>-8.1990410386548973</v>
      </c>
      <c r="S506" s="20">
        <f t="shared" si="132"/>
        <v>94.833332498233773</v>
      </c>
      <c r="T506" s="1">
        <f t="shared" si="133"/>
        <v>0</v>
      </c>
    </row>
    <row r="507" spans="1:20" x14ac:dyDescent="0.25">
      <c r="A507" s="20">
        <f t="shared" si="128"/>
        <v>5.0199999999999374</v>
      </c>
      <c r="C507" s="20">
        <f t="shared" si="134"/>
        <v>18.54124502993178</v>
      </c>
      <c r="D507" s="20">
        <f t="shared" si="121"/>
        <v>7.3843908774975431E-2</v>
      </c>
      <c r="E507" s="20">
        <f t="shared" si="122"/>
        <v>1.6077489391459925</v>
      </c>
      <c r="F507" s="20">
        <f t="shared" si="123"/>
        <v>6.2028883370979358E-2</v>
      </c>
      <c r="G507" s="20">
        <f t="shared" si="124"/>
        <v>1.3505091088826335</v>
      </c>
      <c r="I507" s="20">
        <f t="shared" si="135"/>
        <v>-0.18050429423615152</v>
      </c>
      <c r="K507" s="20">
        <f t="shared" si="129"/>
        <v>18.240010689646706</v>
      </c>
      <c r="L507" s="20">
        <f t="shared" si="136"/>
        <v>-6.1508409226134639E-2</v>
      </c>
      <c r="M507" s="20">
        <f t="shared" si="125"/>
        <v>-1.3391772093650041</v>
      </c>
      <c r="N507" s="1">
        <f t="shared" si="130"/>
        <v>157.06766520062439</v>
      </c>
      <c r="P507" s="20">
        <f t="shared" si="131"/>
        <v>-3.3286299436170106</v>
      </c>
      <c r="Q507" s="20">
        <f t="shared" si="126"/>
        <v>-0.37629530305684189</v>
      </c>
      <c r="R507" s="20">
        <f t="shared" si="127"/>
        <v>-8.192799979465315</v>
      </c>
      <c r="S507" s="20">
        <f t="shared" si="132"/>
        <v>94.800456150849527</v>
      </c>
      <c r="T507" s="1">
        <f t="shared" si="133"/>
        <v>0</v>
      </c>
    </row>
    <row r="508" spans="1:20" x14ac:dyDescent="0.25">
      <c r="A508" s="20">
        <f t="shared" si="128"/>
        <v>5.0299999999999372</v>
      </c>
      <c r="C508" s="20">
        <f t="shared" si="134"/>
        <v>18.542964775112726</v>
      </c>
      <c r="D508" s="20">
        <f t="shared" si="121"/>
        <v>7.3857607811420145E-2</v>
      </c>
      <c r="E508" s="20">
        <f t="shared" si="122"/>
        <v>1.6080471981585054</v>
      </c>
      <c r="F508" s="20">
        <f t="shared" si="123"/>
        <v>6.2040390561592926E-2</v>
      </c>
      <c r="G508" s="20">
        <f t="shared" si="124"/>
        <v>1.3507596464531446</v>
      </c>
      <c r="I508" s="20">
        <f t="shared" si="135"/>
        <v>-0.18498045995499066</v>
      </c>
      <c r="K508" s="20">
        <f t="shared" si="129"/>
        <v>18.226618917553054</v>
      </c>
      <c r="L508" s="20">
        <f t="shared" si="136"/>
        <v>-6.1186662362720516E-2</v>
      </c>
      <c r="M508" s="20">
        <f t="shared" si="125"/>
        <v>-1.332172052312661</v>
      </c>
      <c r="N508" s="1">
        <f t="shared" si="130"/>
        <v>157.2499983486604</v>
      </c>
      <c r="P508" s="20">
        <f t="shared" si="131"/>
        <v>-3.4105579434116637</v>
      </c>
      <c r="Q508" s="20">
        <f t="shared" si="126"/>
        <v>-0.37600689575806956</v>
      </c>
      <c r="R508" s="20">
        <f t="shared" si="127"/>
        <v>-8.1865207001539204</v>
      </c>
      <c r="S508" s="20">
        <f t="shared" si="132"/>
        <v>94.766760211414379</v>
      </c>
      <c r="T508" s="1">
        <f t="shared" si="133"/>
        <v>0</v>
      </c>
    </row>
    <row r="509" spans="1:20" x14ac:dyDescent="0.25">
      <c r="A509" s="20">
        <f t="shared" si="128"/>
        <v>5.039999999999937</v>
      </c>
      <c r="C509" s="20">
        <f t="shared" si="134"/>
        <v>18.545112947859884</v>
      </c>
      <c r="D509" s="20">
        <f t="shared" si="121"/>
        <v>7.3874721373613117E-2</v>
      </c>
      <c r="E509" s="20">
        <f t="shared" si="122"/>
        <v>1.6084197991206863</v>
      </c>
      <c r="F509" s="20">
        <f t="shared" si="123"/>
        <v>6.2054765953835023E-2</v>
      </c>
      <c r="G509" s="20">
        <f t="shared" si="124"/>
        <v>1.3510726312613766</v>
      </c>
      <c r="I509" s="20">
        <f t="shared" si="135"/>
        <v>-0.18945166909899847</v>
      </c>
      <c r="K509" s="20">
        <f t="shared" si="129"/>
        <v>18.213297197029927</v>
      </c>
      <c r="L509" s="20">
        <f t="shared" si="136"/>
        <v>-6.0866750053685179E-2</v>
      </c>
      <c r="M509" s="20">
        <f t="shared" si="125"/>
        <v>-1.3252068376591593</v>
      </c>
      <c r="N509" s="1">
        <f t="shared" si="130"/>
        <v>157.4321979292333</v>
      </c>
      <c r="P509" s="20">
        <f t="shared" si="131"/>
        <v>-3.4924231504132028</v>
      </c>
      <c r="Q509" s="20">
        <f t="shared" si="126"/>
        <v>-0.37571672264358846</v>
      </c>
      <c r="R509" s="20">
        <f t="shared" si="127"/>
        <v>-8.1802029750400269</v>
      </c>
      <c r="S509" s="20">
        <f t="shared" si="132"/>
        <v>94.732245305945256</v>
      </c>
      <c r="T509" s="1">
        <f t="shared" si="133"/>
        <v>0</v>
      </c>
    </row>
    <row r="510" spans="1:20" x14ac:dyDescent="0.25">
      <c r="A510" s="20">
        <f t="shared" si="128"/>
        <v>5.0499999999999368</v>
      </c>
      <c r="C510" s="20">
        <f t="shared" si="134"/>
        <v>18.547687950888474</v>
      </c>
      <c r="D510" s="20">
        <f t="shared" si="121"/>
        <v>7.3895237920310219E-2</v>
      </c>
      <c r="E510" s="20">
        <f t="shared" si="122"/>
        <v>1.6088664907535428</v>
      </c>
      <c r="F510" s="20">
        <f t="shared" si="123"/>
        <v>6.2071999853060583E-2</v>
      </c>
      <c r="G510" s="20">
        <f t="shared" si="124"/>
        <v>1.351447852232976</v>
      </c>
      <c r="I510" s="20">
        <f t="shared" si="135"/>
        <v>-0.19391768713888799</v>
      </c>
      <c r="K510" s="20">
        <f t="shared" si="129"/>
        <v>18.200045128653336</v>
      </c>
      <c r="L510" s="20">
        <f t="shared" si="136"/>
        <v>-6.0548644286982665E-2</v>
      </c>
      <c r="M510" s="20">
        <f t="shared" si="125"/>
        <v>-1.318280955518891</v>
      </c>
      <c r="N510" s="1">
        <f t="shared" si="130"/>
        <v>157.61426464086171</v>
      </c>
      <c r="P510" s="20">
        <f t="shared" si="131"/>
        <v>-3.5742251801636029</v>
      </c>
      <c r="Q510" s="20">
        <f t="shared" si="126"/>
        <v>-0.37542477354694143</v>
      </c>
      <c r="R510" s="20">
        <f t="shared" si="127"/>
        <v>-8.173846582776866</v>
      </c>
      <c r="S510" s="20">
        <f t="shared" si="132"/>
        <v>94.696912064292363</v>
      </c>
      <c r="T510" s="1">
        <f t="shared" si="133"/>
        <v>0</v>
      </c>
    </row>
    <row r="511" spans="1:20" x14ac:dyDescent="0.25">
      <c r="A511" s="20">
        <f t="shared" si="128"/>
        <v>5.0599999999999365</v>
      </c>
      <c r="C511" s="20">
        <f t="shared" si="134"/>
        <v>18.550688159597815</v>
      </c>
      <c r="D511" s="20">
        <f t="shared" si="121"/>
        <v>7.3919145920894672E-2</v>
      </c>
      <c r="E511" s="20">
        <f t="shared" si="122"/>
        <v>1.6093870220094639</v>
      </c>
      <c r="F511" s="20">
        <f t="shared" si="123"/>
        <v>6.2092082573551526E-2</v>
      </c>
      <c r="G511" s="20">
        <f t="shared" si="124"/>
        <v>1.3518850984879496</v>
      </c>
      <c r="I511" s="20">
        <f t="shared" si="135"/>
        <v>-0.19837828117823733</v>
      </c>
      <c r="K511" s="20">
        <f t="shared" si="129"/>
        <v>18.186862319098147</v>
      </c>
      <c r="L511" s="20">
        <f t="shared" si="136"/>
        <v>-6.0232317173513558E-2</v>
      </c>
      <c r="M511" s="20">
        <f t="shared" si="125"/>
        <v>-1.3113937986830733</v>
      </c>
      <c r="N511" s="1">
        <f t="shared" si="130"/>
        <v>157.79619917810047</v>
      </c>
      <c r="P511" s="20">
        <f t="shared" si="131"/>
        <v>-3.6559636459913714</v>
      </c>
      <c r="Q511" s="20">
        <f t="shared" si="126"/>
        <v>-0.37513103850218615</v>
      </c>
      <c r="R511" s="20">
        <f t="shared" si="127"/>
        <v>-8.1674513063833256</v>
      </c>
      <c r="S511" s="20">
        <f t="shared" si="132"/>
        <v>94.660761120161581</v>
      </c>
      <c r="T511" s="1">
        <f t="shared" si="133"/>
        <v>0</v>
      </c>
    </row>
    <row r="512" spans="1:20" x14ac:dyDescent="0.25">
      <c r="A512" s="20">
        <f t="shared" si="128"/>
        <v>5.0699999999999363</v>
      </c>
      <c r="C512" s="20">
        <f t="shared" si="134"/>
        <v>18.55411192237375</v>
      </c>
      <c r="D512" s="20">
        <f t="shared" si="121"/>
        <v>7.3946433854663277E-2</v>
      </c>
      <c r="E512" s="20">
        <f t="shared" si="122"/>
        <v>1.6099811420566792</v>
      </c>
      <c r="F512" s="20">
        <f t="shared" si="123"/>
        <v>6.2115004437917155E-2</v>
      </c>
      <c r="G512" s="20">
        <f t="shared" si="124"/>
        <v>1.3523841593276107</v>
      </c>
      <c r="I512" s="20">
        <f t="shared" si="135"/>
        <v>-0.2028332200101528</v>
      </c>
      <c r="K512" s="20">
        <f t="shared" si="129"/>
        <v>18.173748381111317</v>
      </c>
      <c r="L512" s="20">
        <f t="shared" si="136"/>
        <v>-5.991774094978454E-2</v>
      </c>
      <c r="M512" s="20">
        <f t="shared" si="125"/>
        <v>-1.3045447626776516</v>
      </c>
      <c r="N512" s="1">
        <f t="shared" si="130"/>
        <v>157.97800223160152</v>
      </c>
      <c r="P512" s="20">
        <f t="shared" si="131"/>
        <v>-3.7376381590552046</v>
      </c>
      <c r="Q512" s="20">
        <f t="shared" si="126"/>
        <v>-0.37483550774528035</v>
      </c>
      <c r="R512" s="20">
        <f t="shared" si="127"/>
        <v>-8.1610169332741211</v>
      </c>
      <c r="S512" s="20">
        <f t="shared" si="132"/>
        <v>94.623793111136351</v>
      </c>
      <c r="T512" s="1">
        <f t="shared" si="133"/>
        <v>0</v>
      </c>
    </row>
    <row r="513" spans="1:20" x14ac:dyDescent="0.25">
      <c r="A513" s="20">
        <f t="shared" si="128"/>
        <v>5.0799999999999361</v>
      </c>
      <c r="C513" s="20">
        <f t="shared" si="134"/>
        <v>18.557957560900071</v>
      </c>
      <c r="D513" s="20">
        <f t="shared" si="121"/>
        <v>7.3977090210124191E-2</v>
      </c>
      <c r="E513" s="20">
        <f t="shared" si="122"/>
        <v>1.6106486002639711</v>
      </c>
      <c r="F513" s="20">
        <f t="shared" si="123"/>
        <v>6.2140755776504325E-2</v>
      </c>
      <c r="G513" s="20">
        <f t="shared" si="124"/>
        <v>1.3529448242217359</v>
      </c>
      <c r="I513" s="20">
        <f t="shared" si="135"/>
        <v>-0.2072822741728019</v>
      </c>
      <c r="K513" s="20">
        <f t="shared" si="129"/>
        <v>18.16070293348454</v>
      </c>
      <c r="L513" s="20">
        <f t="shared" si="136"/>
        <v>-5.9604887980562155E-2</v>
      </c>
      <c r="M513" s="20">
        <f t="shared" si="125"/>
        <v>-1.2977332458210789</v>
      </c>
      <c r="N513" s="1">
        <f t="shared" si="130"/>
        <v>158.15967448817449</v>
      </c>
      <c r="P513" s="20">
        <f t="shared" si="131"/>
        <v>-3.8192483283879457</v>
      </c>
      <c r="Q513" s="20">
        <f t="shared" si="126"/>
        <v>-0.374538171715393</v>
      </c>
      <c r="R513" s="20">
        <f t="shared" si="127"/>
        <v>-8.1545432552883295</v>
      </c>
      <c r="S513" s="20">
        <f t="shared" si="132"/>
        <v>94.586008678699145</v>
      </c>
      <c r="T513" s="1">
        <f t="shared" si="133"/>
        <v>0</v>
      </c>
    </row>
    <row r="514" spans="1:20" x14ac:dyDescent="0.25">
      <c r="A514" s="20">
        <f t="shared" si="128"/>
        <v>5.0899999999999359</v>
      </c>
      <c r="C514" s="20">
        <f t="shared" si="134"/>
        <v>18.562223370478584</v>
      </c>
      <c r="D514" s="20">
        <f t="shared" si="121"/>
        <v>7.4011103484305063E-2</v>
      </c>
      <c r="E514" s="20">
        <f t="shared" si="122"/>
        <v>1.61138914618561</v>
      </c>
      <c r="F514" s="20">
        <f t="shared" si="123"/>
        <v>6.216932692681626E-2</v>
      </c>
      <c r="G514" s="20">
        <f t="shared" si="124"/>
        <v>1.3535668827959124</v>
      </c>
      <c r="I514" s="20">
        <f t="shared" si="135"/>
        <v>-0.21172521600378408</v>
      </c>
      <c r="K514" s="20">
        <f t="shared" si="129"/>
        <v>18.14772560102633</v>
      </c>
      <c r="L514" s="20">
        <f t="shared" si="136"/>
        <v>-5.9293730761518115E-2</v>
      </c>
      <c r="M514" s="20">
        <f t="shared" si="125"/>
        <v>-1.2909586492819098</v>
      </c>
      <c r="N514" s="1">
        <f t="shared" si="130"/>
        <v>158.34121663084704</v>
      </c>
      <c r="P514" s="20">
        <f t="shared" si="131"/>
        <v>-3.9007937609408292</v>
      </c>
      <c r="Q514" s="20">
        <f t="shared" si="126"/>
        <v>-0.37423902105614365</v>
      </c>
      <c r="R514" s="20">
        <f t="shared" si="127"/>
        <v>-8.1480300687163876</v>
      </c>
      <c r="S514" s="20">
        <f t="shared" si="132"/>
        <v>94.547408468252499</v>
      </c>
      <c r="T514" s="1">
        <f t="shared" si="133"/>
        <v>0</v>
      </c>
    </row>
    <row r="515" spans="1:20" x14ac:dyDescent="0.25">
      <c r="A515" s="20">
        <f t="shared" si="128"/>
        <v>5.0999999999999357</v>
      </c>
      <c r="C515" s="20">
        <f t="shared" si="134"/>
        <v>18.566907620357686</v>
      </c>
      <c r="D515" s="20">
        <f t="shared" si="121"/>
        <v>7.4048462182072852E-2</v>
      </c>
      <c r="E515" s="20">
        <f t="shared" si="122"/>
        <v>1.6122025295465459</v>
      </c>
      <c r="F515" s="20">
        <f t="shared" si="123"/>
        <v>6.2200708232941194E-2</v>
      </c>
      <c r="G515" s="20">
        <f t="shared" si="124"/>
        <v>1.3542501248190986</v>
      </c>
      <c r="I515" s="20">
        <f t="shared" si="135"/>
        <v>-0.21616181969331014</v>
      </c>
      <c r="K515" s="20">
        <f t="shared" si="129"/>
        <v>18.134816014533513</v>
      </c>
      <c r="L515" s="20">
        <f t="shared" si="136"/>
        <v>-5.8984241921865271E-2</v>
      </c>
      <c r="M515" s="20">
        <f t="shared" si="125"/>
        <v>-1.2842203771361915</v>
      </c>
      <c r="N515" s="1">
        <f t="shared" si="130"/>
        <v>158.52262933892484</v>
      </c>
      <c r="P515" s="20">
        <f t="shared" si="131"/>
        <v>-3.9822740616279932</v>
      </c>
      <c r="Q515" s="20">
        <f t="shared" si="126"/>
        <v>-0.37393804661676766</v>
      </c>
      <c r="R515" s="20">
        <f t="shared" si="127"/>
        <v>-8.1414771743254448</v>
      </c>
      <c r="S515" s="20">
        <f t="shared" si="132"/>
        <v>94.507993129139649</v>
      </c>
      <c r="T515" s="1">
        <f t="shared" si="133"/>
        <v>0</v>
      </c>
    </row>
    <row r="516" spans="1:20" x14ac:dyDescent="0.25">
      <c r="A516" s="20">
        <f t="shared" si="128"/>
        <v>5.1099999999999355</v>
      </c>
      <c r="C516" s="20">
        <f t="shared" si="134"/>
        <v>18.57200855406909</v>
      </c>
      <c r="D516" s="20">
        <f t="shared" si="121"/>
        <v>7.4089154815463992E-2</v>
      </c>
      <c r="E516" s="20">
        <f t="shared" si="122"/>
        <v>1.6130885002278248</v>
      </c>
      <c r="F516" s="20">
        <f t="shared" si="123"/>
        <v>6.2234890044989756E-2</v>
      </c>
      <c r="G516" s="20">
        <f t="shared" si="124"/>
        <v>1.3549943401913729</v>
      </c>
      <c r="I516" s="20">
        <f t="shared" si="135"/>
        <v>-0.22059186133616115</v>
      </c>
      <c r="K516" s="20">
        <f t="shared" si="129"/>
        <v>18.12197381076215</v>
      </c>
      <c r="L516" s="20">
        <f t="shared" si="136"/>
        <v>-5.8676394226981392E-2</v>
      </c>
      <c r="M516" s="20">
        <f t="shared" si="125"/>
        <v>-1.2775178364245894</v>
      </c>
      <c r="N516" s="1">
        <f t="shared" si="130"/>
        <v>158.70391328805133</v>
      </c>
      <c r="P516" s="20">
        <f t="shared" si="131"/>
        <v>-4.0636888333712475</v>
      </c>
      <c r="Q516" s="20">
        <f t="shared" si="126"/>
        <v>-0.37363523945320942</v>
      </c>
      <c r="R516" s="20">
        <f t="shared" si="127"/>
        <v>-8.1348843773831803</v>
      </c>
      <c r="S516" s="20">
        <f t="shared" si="132"/>
        <v>94.467763314664666</v>
      </c>
      <c r="T516" s="1">
        <f t="shared" si="133"/>
        <v>0</v>
      </c>
    </row>
    <row r="517" spans="1:20" x14ac:dyDescent="0.25">
      <c r="A517" s="20">
        <f t="shared" si="128"/>
        <v>5.1199999999999353</v>
      </c>
      <c r="C517" s="20">
        <f t="shared" si="134"/>
        <v>18.577524389772559</v>
      </c>
      <c r="D517" s="20">
        <f t="shared" ref="D517:D580" si="137">0.5*$W$5*$W$10*$W$9*C517^2</f>
        <v>7.413316990302625E-2</v>
      </c>
      <c r="E517" s="20">
        <f t="shared" ref="E517:E580" si="138">D517/$W$4</f>
        <v>1.614046808252259</v>
      </c>
      <c r="F517" s="20">
        <f t="shared" ref="F517:F580" si="139">0.5*$W$6*$W$10*$W$9*C517^2</f>
        <v>6.227186271854205E-2</v>
      </c>
      <c r="G517" s="20">
        <f t="shared" ref="G517:G580" si="140">F517/$W$4</f>
        <v>1.3557993189318975</v>
      </c>
      <c r="I517" s="20">
        <f t="shared" si="135"/>
        <v>-0.22501511898240079</v>
      </c>
      <c r="K517" s="20">
        <f t="shared" si="129"/>
        <v>18.109198632397902</v>
      </c>
      <c r="L517" s="20">
        <f t="shared" si="136"/>
        <v>-5.8370160581020077E-2</v>
      </c>
      <c r="M517" s="20">
        <f t="shared" ref="M517:M580" si="141">L517/$W$4</f>
        <v>-1.2708504372092331</v>
      </c>
      <c r="N517" s="1">
        <f t="shared" si="130"/>
        <v>158.88506915026713</v>
      </c>
      <c r="P517" s="20">
        <f t="shared" si="131"/>
        <v>-4.145037677145079</v>
      </c>
      <c r="Q517" s="20">
        <f t="shared" ref="Q517:Q580" si="142">-(D517*SIN(I517))+(F517*COS(I517))-($W$4*9.81)</f>
        <v>-0.37333059082914144</v>
      </c>
      <c r="R517" s="20">
        <f t="shared" ref="R517:R580" si="143">Q517/$W$4</f>
        <v>-8.1282514876799787</v>
      </c>
      <c r="S517" s="20">
        <f t="shared" si="132"/>
        <v>94.426719682112093</v>
      </c>
      <c r="T517" s="1">
        <f t="shared" si="133"/>
        <v>0</v>
      </c>
    </row>
    <row r="518" spans="1:20" x14ac:dyDescent="0.25">
      <c r="A518" s="20">
        <f t="shared" ref="A518:A581" si="144">A517+$W$18</f>
        <v>5.1299999999999351</v>
      </c>
      <c r="C518" s="20">
        <f t="shared" si="134"/>
        <v>18.583453320608292</v>
      </c>
      <c r="D518" s="20">
        <f t="shared" si="137"/>
        <v>7.4180495969171201E-2</v>
      </c>
      <c r="E518" s="20">
        <f t="shared" si="138"/>
        <v>1.6150772037703289</v>
      </c>
      <c r="F518" s="20">
        <f t="shared" si="139"/>
        <v>6.2311616614103817E-2</v>
      </c>
      <c r="G518" s="20">
        <f t="shared" si="140"/>
        <v>1.3566648511670765</v>
      </c>
      <c r="I518" s="20">
        <f t="shared" si="135"/>
        <v>-0.22943137268681502</v>
      </c>
      <c r="K518" s="20">
        <f t="shared" ref="K518:K581" si="145">K517+(M517*$W$18)</f>
        <v>18.09649012802581</v>
      </c>
      <c r="L518" s="20">
        <f t="shared" si="136"/>
        <v>-5.806551402950607E-2</v>
      </c>
      <c r="M518" s="20">
        <f t="shared" si="141"/>
        <v>-1.2642175926302215</v>
      </c>
      <c r="N518" s="1">
        <f t="shared" ref="N518:N581" si="146">N517+(K517*$W$18)+(0.5*M517*$W$18^2)</f>
        <v>159.06609759406925</v>
      </c>
      <c r="P518" s="20">
        <f t="shared" ref="P518:P581" si="147">P517+(R517*$W$18)</f>
        <v>-4.2263201920218787</v>
      </c>
      <c r="Q518" s="20">
        <f t="shared" si="142"/>
        <v>-0.37302409221691224</v>
      </c>
      <c r="R518" s="20">
        <f t="shared" si="143"/>
        <v>-8.121578319549581</v>
      </c>
      <c r="S518" s="20">
        <f t="shared" ref="S518:S581" si="148">S517+(P517*$W$18)+(0.5*R517*$W$18^2)</f>
        <v>94.384862892766265</v>
      </c>
      <c r="T518" s="1">
        <f t="shared" si="133"/>
        <v>0</v>
      </c>
    </row>
    <row r="519" spans="1:20" x14ac:dyDescent="0.25">
      <c r="A519" s="20">
        <f t="shared" si="144"/>
        <v>5.1399999999999348</v>
      </c>
      <c r="C519" s="20">
        <f t="shared" si="134"/>
        <v>18.589793515056737</v>
      </c>
      <c r="D519" s="20">
        <f t="shared" si="137"/>
        <v>7.4231121543537962E-2</v>
      </c>
      <c r="E519" s="20">
        <f t="shared" si="138"/>
        <v>1.6161794370463305</v>
      </c>
      <c r="F519" s="20">
        <f t="shared" si="139"/>
        <v>6.2354142096571884E-2</v>
      </c>
      <c r="G519" s="20">
        <f t="shared" si="140"/>
        <v>1.3575907271189176</v>
      </c>
      <c r="I519" s="20">
        <f t="shared" si="135"/>
        <v>-0.23384040455705604</v>
      </c>
      <c r="K519" s="20">
        <f t="shared" si="145"/>
        <v>18.083847952099507</v>
      </c>
      <c r="L519" s="20">
        <f t="shared" si="136"/>
        <v>-5.7762427761913843E-2</v>
      </c>
      <c r="M519" s="20">
        <f t="shared" si="141"/>
        <v>-1.2576187189617645</v>
      </c>
      <c r="N519" s="1">
        <f t="shared" si="146"/>
        <v>159.24699928446987</v>
      </c>
      <c r="P519" s="20">
        <f t="shared" si="147"/>
        <v>-4.3075359752173741</v>
      </c>
      <c r="Q519" s="20">
        <f t="shared" si="142"/>
        <v>-0.37271573529842028</v>
      </c>
      <c r="R519" s="20">
        <f t="shared" si="143"/>
        <v>-8.1148646918880978</v>
      </c>
      <c r="S519" s="20">
        <f t="shared" si="148"/>
        <v>94.342193611930071</v>
      </c>
      <c r="T519" s="1">
        <f t="shared" ref="T519:T582" si="149">IF(AND(S518&gt;0,S519&lt;0),(-1*S518*(N519-N518)/(S519-S518)+N518),0)</f>
        <v>0</v>
      </c>
    </row>
    <row r="520" spans="1:20" x14ac:dyDescent="0.25">
      <c r="A520" s="20">
        <f t="shared" si="144"/>
        <v>5.1499999999999346</v>
      </c>
      <c r="C520" s="20">
        <f t="shared" si="134"/>
        <v>18.596543117305558</v>
      </c>
      <c r="D520" s="20">
        <f t="shared" si="137"/>
        <v>7.4285035160367732E-2</v>
      </c>
      <c r="E520" s="20">
        <f t="shared" si="138"/>
        <v>1.6173532584447581</v>
      </c>
      <c r="F520" s="20">
        <f t="shared" si="139"/>
        <v>6.2399429534708895E-2</v>
      </c>
      <c r="G520" s="20">
        <f t="shared" si="140"/>
        <v>1.3585767370935966</v>
      </c>
      <c r="I520" s="20">
        <f t="shared" si="135"/>
        <v>-0.23824199880046737</v>
      </c>
      <c r="K520" s="20">
        <f t="shared" si="145"/>
        <v>18.071271764909891</v>
      </c>
      <c r="L520" s="20">
        <f t="shared" si="136"/>
        <v>-5.7460875114227414E-2</v>
      </c>
      <c r="M520" s="20">
        <f t="shared" si="141"/>
        <v>-1.2510532356679167</v>
      </c>
      <c r="N520" s="1">
        <f t="shared" si="146"/>
        <v>159.42777488305489</v>
      </c>
      <c r="P520" s="20">
        <f t="shared" si="147"/>
        <v>-4.388684622136255</v>
      </c>
      <c r="Q520" s="20">
        <f t="shared" si="142"/>
        <v>-0.37240551196591698</v>
      </c>
      <c r="R520" s="20">
        <f t="shared" si="143"/>
        <v>-8.1081104281715</v>
      </c>
      <c r="S520" s="20">
        <f t="shared" si="148"/>
        <v>94.298712508943296</v>
      </c>
      <c r="T520" s="1">
        <f t="shared" si="149"/>
        <v>0</v>
      </c>
    </row>
    <row r="521" spans="1:20" x14ac:dyDescent="0.25">
      <c r="A521" s="20">
        <f t="shared" si="144"/>
        <v>5.1599999999999344</v>
      </c>
      <c r="C521" s="20">
        <f t="shared" si="134"/>
        <v>18.603700247623525</v>
      </c>
      <c r="D521" s="20">
        <f t="shared" si="137"/>
        <v>7.4342225357889882E-2</v>
      </c>
      <c r="E521" s="20">
        <f t="shared" si="138"/>
        <v>1.6185984184169364</v>
      </c>
      <c r="F521" s="20">
        <f t="shared" si="139"/>
        <v>6.2447469300627501E-2</v>
      </c>
      <c r="G521" s="20">
        <f t="shared" si="140"/>
        <v>1.3596226714702264</v>
      </c>
      <c r="I521" s="20">
        <f t="shared" si="135"/>
        <v>-0.24263594176956982</v>
      </c>
      <c r="K521" s="20">
        <f t="shared" si="145"/>
        <v>18.058761232553213</v>
      </c>
      <c r="L521" s="20">
        <f t="shared" si="136"/>
        <v>-5.7160829571480234E-2</v>
      </c>
      <c r="M521" s="20">
        <f t="shared" si="141"/>
        <v>-1.2445205654578757</v>
      </c>
      <c r="N521" s="1">
        <f t="shared" si="146"/>
        <v>159.60842504804222</v>
      </c>
      <c r="P521" s="20">
        <f t="shared" si="147"/>
        <v>-4.46976572641797</v>
      </c>
      <c r="Q521" s="20">
        <f t="shared" si="142"/>
        <v>-0.3720934143227369</v>
      </c>
      <c r="R521" s="20">
        <f t="shared" si="143"/>
        <v>-8.1013153564715203</v>
      </c>
      <c r="S521" s="20">
        <f t="shared" si="148"/>
        <v>94.254420257200522</v>
      </c>
      <c r="T521" s="1">
        <f t="shared" si="149"/>
        <v>0</v>
      </c>
    </row>
    <row r="522" spans="1:20" x14ac:dyDescent="0.25">
      <c r="A522" s="20">
        <f t="shared" si="144"/>
        <v>5.1699999999999342</v>
      </c>
      <c r="C522" s="20">
        <f t="shared" si="134"/>
        <v>18.611263002740973</v>
      </c>
      <c r="D522" s="20">
        <f t="shared" si="137"/>
        <v>7.4402680677718672E-2</v>
      </c>
      <c r="E522" s="20">
        <f t="shared" si="138"/>
        <v>1.6199146674878875</v>
      </c>
      <c r="F522" s="20">
        <f t="shared" si="139"/>
        <v>6.2498251769283683E-2</v>
      </c>
      <c r="G522" s="20">
        <f t="shared" si="140"/>
        <v>1.3607283206898255</v>
      </c>
      <c r="I522" s="20">
        <f t="shared" si="135"/>
        <v>-0.24702202200618914</v>
      </c>
      <c r="K522" s="20">
        <f t="shared" si="145"/>
        <v>18.046316026898634</v>
      </c>
      <c r="L522" s="20">
        <f t="shared" si="136"/>
        <v>-5.6862264770272765E-2</v>
      </c>
      <c r="M522" s="20">
        <f t="shared" si="141"/>
        <v>-1.2380201343407962</v>
      </c>
      <c r="N522" s="1">
        <f t="shared" si="146"/>
        <v>159.78895043433948</v>
      </c>
      <c r="P522" s="20">
        <f t="shared" si="147"/>
        <v>-4.5507788799826852</v>
      </c>
      <c r="Q522" s="20">
        <f t="shared" si="142"/>
        <v>-0.37177943468395691</v>
      </c>
      <c r="R522" s="20">
        <f t="shared" si="143"/>
        <v>-8.0944793094699961</v>
      </c>
      <c r="S522" s="20">
        <f t="shared" si="148"/>
        <v>94.20931753416852</v>
      </c>
      <c r="T522" s="1">
        <f t="shared" si="149"/>
        <v>0</v>
      </c>
    </row>
    <row r="523" spans="1:20" x14ac:dyDescent="0.25">
      <c r="A523" s="20">
        <f t="shared" si="144"/>
        <v>5.179999999999934</v>
      </c>
      <c r="C523" s="20">
        <f t="shared" si="134"/>
        <v>18.619229456236628</v>
      </c>
      <c r="D523" s="20">
        <f t="shared" si="137"/>
        <v>7.4466389664261196E-2</v>
      </c>
      <c r="E523" s="20">
        <f t="shared" si="138"/>
        <v>1.62130175624344</v>
      </c>
      <c r="F523" s="20">
        <f t="shared" si="139"/>
        <v>6.2551767317979401E-2</v>
      </c>
      <c r="G523" s="20">
        <f t="shared" si="140"/>
        <v>1.3618934752444896</v>
      </c>
      <c r="I523" s="20">
        <f t="shared" si="135"/>
        <v>-0.2514000302842071</v>
      </c>
      <c r="K523" s="20">
        <f t="shared" si="145"/>
        <v>18.033935825555226</v>
      </c>
      <c r="L523" s="20">
        <f t="shared" si="136"/>
        <v>-5.656515450126675E-2</v>
      </c>
      <c r="M523" s="20">
        <f t="shared" si="141"/>
        <v>-1.2315513716800948</v>
      </c>
      <c r="N523" s="1">
        <f t="shared" si="146"/>
        <v>159.96935169360177</v>
      </c>
      <c r="P523" s="20">
        <f t="shared" si="147"/>
        <v>-4.631723673077385</v>
      </c>
      <c r="Q523" s="20">
        <f t="shared" si="142"/>
        <v>-0.37146356557698451</v>
      </c>
      <c r="R523" s="20">
        <f t="shared" si="143"/>
        <v>-8.0876021244716849</v>
      </c>
      <c r="S523" s="20">
        <f t="shared" si="148"/>
        <v>94.163405021403221</v>
      </c>
      <c r="T523" s="1">
        <f t="shared" si="149"/>
        <v>0</v>
      </c>
    </row>
    <row r="524" spans="1:20" x14ac:dyDescent="0.25">
      <c r="A524" s="20">
        <f t="shared" si="144"/>
        <v>5.1899999999999338</v>
      </c>
      <c r="C524" s="20">
        <f t="shared" si="134"/>
        <v>18.627597658930476</v>
      </c>
      <c r="D524" s="20">
        <f t="shared" si="137"/>
        <v>7.4533340864136488E-2</v>
      </c>
      <c r="E524" s="20">
        <f t="shared" si="138"/>
        <v>1.6227594353175809</v>
      </c>
      <c r="F524" s="20">
        <f t="shared" si="139"/>
        <v>6.2608006325874641E-2</v>
      </c>
      <c r="G524" s="20">
        <f t="shared" si="140"/>
        <v>1.3631179256667678</v>
      </c>
      <c r="I524" s="20">
        <f t="shared" si="135"/>
        <v>-0.25576975965092086</v>
      </c>
      <c r="K524" s="20">
        <f t="shared" si="145"/>
        <v>18.021620311838426</v>
      </c>
      <c r="L524" s="20">
        <f t="shared" si="136"/>
        <v>-5.626947271165441E-2</v>
      </c>
      <c r="M524" s="20">
        <f t="shared" si="141"/>
        <v>-1.2251137102472112</v>
      </c>
      <c r="N524" s="1">
        <f t="shared" si="146"/>
        <v>160.14962947428876</v>
      </c>
      <c r="P524" s="20">
        <f t="shared" si="147"/>
        <v>-4.712599694322102</v>
      </c>
      <c r="Q524" s="20">
        <f t="shared" si="142"/>
        <v>-0.3711457997420749</v>
      </c>
      <c r="R524" s="20">
        <f t="shared" si="143"/>
        <v>-8.0806836434155223</v>
      </c>
      <c r="S524" s="20">
        <f t="shared" si="148"/>
        <v>94.116683404566231</v>
      </c>
      <c r="T524" s="1">
        <f t="shared" si="149"/>
        <v>0</v>
      </c>
    </row>
    <row r="525" spans="1:20" x14ac:dyDescent="0.25">
      <c r="A525" s="20">
        <f t="shared" si="144"/>
        <v>5.1999999999999336</v>
      </c>
      <c r="C525" s="20">
        <f t="shared" si="134"/>
        <v>18.636365639282417</v>
      </c>
      <c r="D525" s="20">
        <f t="shared" si="137"/>
        <v>7.4603522825605395E-2</v>
      </c>
      <c r="E525" s="20">
        <f t="shared" si="138"/>
        <v>1.6242874553800435</v>
      </c>
      <c r="F525" s="20">
        <f t="shared" si="139"/>
        <v>6.2666959173508535E-2</v>
      </c>
      <c r="G525" s="20">
        <f t="shared" si="140"/>
        <v>1.3644014625192367</v>
      </c>
      <c r="I525" s="20">
        <f t="shared" si="135"/>
        <v>-0.26013100546699541</v>
      </c>
      <c r="K525" s="20">
        <f t="shared" si="145"/>
        <v>18.009369174735955</v>
      </c>
      <c r="L525" s="20">
        <f t="shared" si="136"/>
        <v>-5.5975193507600829E-2</v>
      </c>
      <c r="M525" s="20">
        <f t="shared" si="141"/>
        <v>-1.2187065862747841</v>
      </c>
      <c r="N525" s="1">
        <f t="shared" si="146"/>
        <v>160.32978442172163</v>
      </c>
      <c r="P525" s="20">
        <f t="shared" si="147"/>
        <v>-4.7934065307562577</v>
      </c>
      <c r="Q525" s="20">
        <f t="shared" si="142"/>
        <v>-0.37082613013277865</v>
      </c>
      <c r="R525" s="20">
        <f t="shared" si="143"/>
        <v>-8.0737237128843606</v>
      </c>
      <c r="S525" s="20">
        <f t="shared" si="148"/>
        <v>94.069153373440841</v>
      </c>
      <c r="T525" s="1">
        <f t="shared" si="149"/>
        <v>0</v>
      </c>
    </row>
    <row r="526" spans="1:20" x14ac:dyDescent="0.25">
      <c r="A526" s="20">
        <f t="shared" si="144"/>
        <v>5.2099999999999334</v>
      </c>
      <c r="C526" s="20">
        <f t="shared" si="134"/>
        <v>18.645531403796436</v>
      </c>
      <c r="D526" s="20">
        <f t="shared" si="137"/>
        <v>7.4676924098012062E-2</v>
      </c>
      <c r="E526" s="20">
        <f t="shared" si="138"/>
        <v>1.6258855671241468</v>
      </c>
      <c r="F526" s="20">
        <f t="shared" si="139"/>
        <v>6.2728616242330129E-2</v>
      </c>
      <c r="G526" s="20">
        <f t="shared" si="140"/>
        <v>1.3657438763842833</v>
      </c>
      <c r="I526" s="20">
        <f t="shared" si="135"/>
        <v>-0.26448356544499568</v>
      </c>
      <c r="K526" s="20">
        <f t="shared" si="145"/>
        <v>17.997182108873208</v>
      </c>
      <c r="L526" s="20">
        <f t="shared" si="136"/>
        <v>-5.5682291156658667E-2</v>
      </c>
      <c r="M526" s="20">
        <f t="shared" si="141"/>
        <v>-1.2123294395092241</v>
      </c>
      <c r="N526" s="1">
        <f t="shared" si="146"/>
        <v>160.50981717813968</v>
      </c>
      <c r="P526" s="20">
        <f t="shared" si="147"/>
        <v>-4.8741437678851014</v>
      </c>
      <c r="Q526" s="20">
        <f t="shared" si="142"/>
        <v>-0.37050454991631959</v>
      </c>
      <c r="R526" s="20">
        <f t="shared" si="143"/>
        <v>-8.0667221841132069</v>
      </c>
      <c r="S526" s="20">
        <f t="shared" si="148"/>
        <v>94.020815621947634</v>
      </c>
      <c r="T526" s="1">
        <f t="shared" si="149"/>
        <v>0</v>
      </c>
    </row>
    <row r="527" spans="1:20" x14ac:dyDescent="0.25">
      <c r="A527" s="20">
        <f t="shared" si="144"/>
        <v>5.2199999999999331</v>
      </c>
      <c r="C527" s="20">
        <f t="shared" si="134"/>
        <v>18.655092937429949</v>
      </c>
      <c r="D527" s="20">
        <f t="shared" si="137"/>
        <v>7.4753533231235708E-2</v>
      </c>
      <c r="E527" s="20">
        <f t="shared" si="138"/>
        <v>1.6275535212548597</v>
      </c>
      <c r="F527" s="20">
        <f t="shared" si="139"/>
        <v>6.2792967914237996E-2</v>
      </c>
      <c r="G527" s="20">
        <f t="shared" si="140"/>
        <v>1.3671449578540822</v>
      </c>
      <c r="I527" s="20">
        <f t="shared" si="135"/>
        <v>-0.26882723968648831</v>
      </c>
      <c r="K527" s="20">
        <f t="shared" si="145"/>
        <v>17.985058814478116</v>
      </c>
      <c r="L527" s="20">
        <f t="shared" si="136"/>
        <v>-5.5390740090152678E-2</v>
      </c>
      <c r="M527" s="20">
        <f t="shared" si="141"/>
        <v>-1.2059817132626318</v>
      </c>
      <c r="N527" s="1">
        <f t="shared" si="146"/>
        <v>160.68972838275644</v>
      </c>
      <c r="P527" s="20">
        <f t="shared" si="147"/>
        <v>-4.9548109897262336</v>
      </c>
      <c r="Q527" s="20">
        <f t="shared" si="142"/>
        <v>-0.3701810524739037</v>
      </c>
      <c r="R527" s="20">
        <f t="shared" si="143"/>
        <v>-8.0596789129959436</v>
      </c>
      <c r="S527" s="20">
        <f t="shared" si="148"/>
        <v>93.971670848159576</v>
      </c>
      <c r="T527" s="1">
        <f t="shared" si="149"/>
        <v>0</v>
      </c>
    </row>
    <row r="528" spans="1:20" x14ac:dyDescent="0.25">
      <c r="A528" s="20">
        <f t="shared" si="144"/>
        <v>5.2299999999999329</v>
      </c>
      <c r="C528" s="20">
        <f t="shared" si="134"/>
        <v>18.665048204008137</v>
      </c>
      <c r="D528" s="20">
        <f t="shared" si="137"/>
        <v>7.4833338775154287E-2</v>
      </c>
      <c r="E528" s="20">
        <f t="shared" si="138"/>
        <v>1.6292910684771236</v>
      </c>
      <c r="F528" s="20">
        <f t="shared" si="139"/>
        <v>6.2860004571129599E-2</v>
      </c>
      <c r="G528" s="20">
        <f t="shared" si="140"/>
        <v>1.3686044975207838</v>
      </c>
      <c r="I528" s="20">
        <f t="shared" si="135"/>
        <v>-0.27316183071770167</v>
      </c>
      <c r="K528" s="20">
        <f t="shared" si="145"/>
        <v>17.972998997345488</v>
      </c>
      <c r="L528" s="20">
        <f t="shared" si="136"/>
        <v>-5.5100514905534019E-2</v>
      </c>
      <c r="M528" s="20">
        <f t="shared" si="141"/>
        <v>-1.1996628544640544</v>
      </c>
      <c r="N528" s="1">
        <f t="shared" si="146"/>
        <v>160.86951867181554</v>
      </c>
      <c r="P528" s="20">
        <f t="shared" si="147"/>
        <v>-5.0354077788561931</v>
      </c>
      <c r="Q528" s="20">
        <f t="shared" si="142"/>
        <v>-0.36985563140095989</v>
      </c>
      <c r="R528" s="20">
        <f t="shared" si="143"/>
        <v>-8.0525937600905699</v>
      </c>
      <c r="S528" s="20">
        <f t="shared" si="148"/>
        <v>93.921719754316669</v>
      </c>
      <c r="T528" s="1">
        <f t="shared" si="149"/>
        <v>0</v>
      </c>
    </row>
    <row r="529" spans="1:20" x14ac:dyDescent="0.25">
      <c r="A529" s="20">
        <f t="shared" si="144"/>
        <v>5.2399999999999327</v>
      </c>
      <c r="C529" s="20">
        <f t="shared" si="134"/>
        <v>18.675395146642874</v>
      </c>
      <c r="D529" s="20">
        <f t="shared" si="137"/>
        <v>7.4916329279118385E-2</v>
      </c>
      <c r="E529" s="20">
        <f t="shared" si="138"/>
        <v>1.6310979594843977</v>
      </c>
      <c r="F529" s="20">
        <f t="shared" si="139"/>
        <v>6.2929716594459451E-2</v>
      </c>
      <c r="G529" s="20">
        <f t="shared" si="140"/>
        <v>1.3701222859668942</v>
      </c>
      <c r="I529" s="20">
        <f t="shared" si="135"/>
        <v>-0.27748714352373682</v>
      </c>
      <c r="K529" s="20">
        <f t="shared" si="145"/>
        <v>17.961002368800848</v>
      </c>
      <c r="L529" s="20">
        <f t="shared" si="136"/>
        <v>-5.4811590368701459E-2</v>
      </c>
      <c r="M529" s="20">
        <f t="shared" si="141"/>
        <v>-1.1933723137100252</v>
      </c>
      <c r="N529" s="1">
        <f t="shared" si="146"/>
        <v>161.04918867864626</v>
      </c>
      <c r="P529" s="20">
        <f t="shared" si="147"/>
        <v>-5.115933716457099</v>
      </c>
      <c r="Q529" s="20">
        <f t="shared" si="142"/>
        <v>-0.36952828050731346</v>
      </c>
      <c r="R529" s="20">
        <f t="shared" si="143"/>
        <v>-8.0454665906229792</v>
      </c>
      <c r="S529" s="20">
        <f t="shared" si="148"/>
        <v>93.870963046840089</v>
      </c>
      <c r="T529" s="1">
        <f t="shared" si="149"/>
        <v>0</v>
      </c>
    </row>
    <row r="530" spans="1:20" x14ac:dyDescent="0.25">
      <c r="A530" s="20">
        <f t="shared" si="144"/>
        <v>5.2499999999999325</v>
      </c>
      <c r="C530" s="20">
        <f t="shared" si="134"/>
        <v>18.68613168815606</v>
      </c>
      <c r="D530" s="20">
        <f t="shared" si="137"/>
        <v>7.5002493291436795E-2</v>
      </c>
      <c r="E530" s="20">
        <f t="shared" si="138"/>
        <v>1.6329739449474592</v>
      </c>
      <c r="F530" s="20">
        <f t="shared" si="139"/>
        <v>6.3002094364806902E-2</v>
      </c>
      <c r="G530" s="20">
        <f t="shared" si="140"/>
        <v>1.3716981137558655</v>
      </c>
      <c r="I530" s="20">
        <f t="shared" si="135"/>
        <v>-0.281802985581322</v>
      </c>
      <c r="K530" s="20">
        <f t="shared" si="145"/>
        <v>17.949068645663747</v>
      </c>
      <c r="L530" s="20">
        <f t="shared" si="136"/>
        <v>-5.4523941416289565E-2</v>
      </c>
      <c r="M530" s="20">
        <f t="shared" si="141"/>
        <v>-1.1871095453143821</v>
      </c>
      <c r="N530" s="1">
        <f t="shared" si="146"/>
        <v>161.2287390337186</v>
      </c>
      <c r="P530" s="20">
        <f t="shared" si="147"/>
        <v>-5.1963883823633292</v>
      </c>
      <c r="Q530" s="20">
        <f t="shared" si="142"/>
        <v>-0.36919899381729221</v>
      </c>
      <c r="R530" s="20">
        <f t="shared" si="143"/>
        <v>-8.0382972744892704</v>
      </c>
      <c r="S530" s="20">
        <f t="shared" si="148"/>
        <v>93.819401436345984</v>
      </c>
      <c r="T530" s="1">
        <f t="shared" si="149"/>
        <v>0</v>
      </c>
    </row>
    <row r="531" spans="1:20" x14ac:dyDescent="0.25">
      <c r="A531" s="20">
        <f t="shared" si="144"/>
        <v>5.2599999999999323</v>
      </c>
      <c r="C531" s="20">
        <f t="shared" si="134"/>
        <v>18.697255731507013</v>
      </c>
      <c r="D531" s="20">
        <f t="shared" si="137"/>
        <v>7.5091819358872533E-2</v>
      </c>
      <c r="E531" s="20">
        <f t="shared" si="138"/>
        <v>1.6349187755034298</v>
      </c>
      <c r="F531" s="20">
        <f t="shared" si="139"/>
        <v>6.3077128261452925E-2</v>
      </c>
      <c r="G531" s="20">
        <f t="shared" si="140"/>
        <v>1.373331771422881</v>
      </c>
      <c r="I531" s="20">
        <f t="shared" si="135"/>
        <v>-0.2861091668901054</v>
      </c>
      <c r="K531" s="20">
        <f t="shared" si="145"/>
        <v>17.937197550210602</v>
      </c>
      <c r="L531" s="20">
        <f t="shared" si="136"/>
        <v>-5.4237543157921321E-2</v>
      </c>
      <c r="M531" s="20">
        <f t="shared" si="141"/>
        <v>-1.1808740073573116</v>
      </c>
      <c r="N531" s="1">
        <f t="shared" si="146"/>
        <v>161.40817036469795</v>
      </c>
      <c r="P531" s="20">
        <f t="shared" si="147"/>
        <v>-5.276771355108222</v>
      </c>
      <c r="Q531" s="20">
        <f t="shared" si="142"/>
        <v>-0.36886776556976725</v>
      </c>
      <c r="R531" s="20">
        <f t="shared" si="143"/>
        <v>-8.0310856862566347</v>
      </c>
      <c r="S531" s="20">
        <f t="shared" si="148"/>
        <v>93.767035637658623</v>
      </c>
      <c r="T531" s="1">
        <f t="shared" si="149"/>
        <v>0</v>
      </c>
    </row>
    <row r="532" spans="1:20" x14ac:dyDescent="0.25">
      <c r="A532" s="20">
        <f t="shared" si="144"/>
        <v>5.2699999999999321</v>
      </c>
      <c r="C532" s="20">
        <f t="shared" si="134"/>
        <v>18.708765160223688</v>
      </c>
      <c r="D532" s="20">
        <f t="shared" si="137"/>
        <v>7.5184296026150441E-2</v>
      </c>
      <c r="E532" s="20">
        <f t="shared" si="138"/>
        <v>1.6369322017450565</v>
      </c>
      <c r="F532" s="20">
        <f t="shared" si="139"/>
        <v>6.3154808661966377E-2</v>
      </c>
      <c r="G532" s="20">
        <f t="shared" si="140"/>
        <v>1.3750230494658475</v>
      </c>
      <c r="I532" s="20">
        <f t="shared" si="135"/>
        <v>-0.29040550000248289</v>
      </c>
      <c r="K532" s="20">
        <f t="shared" si="145"/>
        <v>17.925388810137029</v>
      </c>
      <c r="L532" s="20">
        <f t="shared" si="136"/>
        <v>-5.3952370878425186E-2</v>
      </c>
      <c r="M532" s="20">
        <f t="shared" si="141"/>
        <v>-1.1746651617336206</v>
      </c>
      <c r="N532" s="1">
        <f t="shared" si="146"/>
        <v>161.5874832964997</v>
      </c>
      <c r="P532" s="20">
        <f t="shared" si="147"/>
        <v>-5.3570822119707886</v>
      </c>
      <c r="Q532" s="20">
        <f t="shared" si="142"/>
        <v>-0.36853459021812773</v>
      </c>
      <c r="R532" s="20">
        <f t="shared" si="143"/>
        <v>-8.0238317051628076</v>
      </c>
      <c r="S532" s="20">
        <f t="shared" si="148"/>
        <v>93.713866369823236</v>
      </c>
      <c r="T532" s="1">
        <f t="shared" si="149"/>
        <v>0</v>
      </c>
    </row>
    <row r="533" spans="1:20" x14ac:dyDescent="0.25">
      <c r="A533" s="20">
        <f t="shared" si="144"/>
        <v>5.2799999999999319</v>
      </c>
      <c r="C533" s="20">
        <f t="shared" si="134"/>
        <v>18.720657838837358</v>
      </c>
      <c r="D533" s="20">
        <f t="shared" si="137"/>
        <v>7.5279911835475111E-2</v>
      </c>
      <c r="E533" s="20">
        <f t="shared" si="138"/>
        <v>1.6390139742102137</v>
      </c>
      <c r="F533" s="20">
        <f t="shared" si="139"/>
        <v>6.32351259417991E-2</v>
      </c>
      <c r="G533" s="20">
        <f t="shared" si="140"/>
        <v>1.3767717383365796</v>
      </c>
      <c r="I533" s="20">
        <f t="shared" si="135"/>
        <v>-0.29469180005195766</v>
      </c>
      <c r="K533" s="20">
        <f t="shared" si="145"/>
        <v>17.913642158519693</v>
      </c>
      <c r="L533" s="20">
        <f t="shared" si="136"/>
        <v>-5.366840004001415E-2</v>
      </c>
      <c r="M533" s="20">
        <f t="shared" si="141"/>
        <v>-1.1684824742001774</v>
      </c>
      <c r="N533" s="1">
        <f t="shared" si="146"/>
        <v>161.76667845134295</v>
      </c>
      <c r="P533" s="20">
        <f t="shared" si="147"/>
        <v>-5.4373205290224167</v>
      </c>
      <c r="Q533" s="20">
        <f t="shared" si="142"/>
        <v>-0.36819946243019203</v>
      </c>
      <c r="R533" s="20">
        <f t="shared" si="143"/>
        <v>-8.0165352151141303</v>
      </c>
      <c r="S533" s="20">
        <f t="shared" si="148"/>
        <v>93.659894356118272</v>
      </c>
      <c r="T533" s="1">
        <f t="shared" si="149"/>
        <v>0</v>
      </c>
    </row>
    <row r="534" spans="1:20" x14ac:dyDescent="0.25">
      <c r="A534" s="20">
        <f t="shared" si="144"/>
        <v>5.2899999999999316</v>
      </c>
      <c r="C534" s="20">
        <f t="shared" si="134"/>
        <v>18.732931613320602</v>
      </c>
      <c r="D534" s="20">
        <f t="shared" si="137"/>
        <v>7.5378655326060376E-2</v>
      </c>
      <c r="E534" s="20">
        <f t="shared" si="138"/>
        <v>1.6411638433716607</v>
      </c>
      <c r="F534" s="20">
        <f t="shared" si="139"/>
        <v>6.3318070473890722E-2</v>
      </c>
      <c r="G534" s="20">
        <f t="shared" si="140"/>
        <v>1.3785776284321951</v>
      </c>
      <c r="I534" s="20">
        <f t="shared" si="135"/>
        <v>-0.29896788478003111</v>
      </c>
      <c r="K534" s="20">
        <f t="shared" si="145"/>
        <v>17.901957333777691</v>
      </c>
      <c r="L534" s="20">
        <f t="shared" si="136"/>
        <v>-5.3385606284426651E-2</v>
      </c>
      <c r="M534" s="20">
        <f t="shared" si="141"/>
        <v>-1.1623254144225268</v>
      </c>
      <c r="N534" s="1">
        <f t="shared" si="146"/>
        <v>161.94575644880442</v>
      </c>
      <c r="P534" s="20">
        <f t="shared" si="147"/>
        <v>-5.5174858811735579</v>
      </c>
      <c r="Q534" s="20">
        <f t="shared" si="142"/>
        <v>-0.36786237708805453</v>
      </c>
      <c r="R534" s="20">
        <f t="shared" si="143"/>
        <v>-8.0091961046822231</v>
      </c>
      <c r="S534" s="20">
        <f t="shared" si="148"/>
        <v>93.6051203240673</v>
      </c>
      <c r="T534" s="1">
        <f t="shared" si="149"/>
        <v>0</v>
      </c>
    </row>
    <row r="535" spans="1:20" x14ac:dyDescent="0.25">
      <c r="A535" s="20">
        <f t="shared" si="144"/>
        <v>5.2999999999999314</v>
      </c>
      <c r="C535" s="20">
        <f t="shared" si="134"/>
        <v>18.745584311528173</v>
      </c>
      <c r="D535" s="20">
        <f t="shared" si="137"/>
        <v>7.5480515033669121E-2</v>
      </c>
      <c r="E535" s="20">
        <f t="shared" si="138"/>
        <v>1.643381559627022</v>
      </c>
      <c r="F535" s="20">
        <f t="shared" si="139"/>
        <v>6.3403632628282067E-2</v>
      </c>
      <c r="G535" s="20">
        <f t="shared" si="140"/>
        <v>1.3804405100866985</v>
      </c>
      <c r="I535" s="20">
        <f t="shared" si="135"/>
        <v>-0.30323357456162592</v>
      </c>
      <c r="K535" s="20">
        <f t="shared" si="145"/>
        <v>17.890334079633465</v>
      </c>
      <c r="L535" s="20">
        <f t="shared" si="136"/>
        <v>-5.3103965435027392E-2</v>
      </c>
      <c r="M535" s="20">
        <f t="shared" si="141"/>
        <v>-1.1561934560206268</v>
      </c>
      <c r="N535" s="1">
        <f t="shared" si="146"/>
        <v>162.12471790587148</v>
      </c>
      <c r="P535" s="20">
        <f t="shared" si="147"/>
        <v>-5.5975778422203799</v>
      </c>
      <c r="Q535" s="20">
        <f t="shared" si="142"/>
        <v>-0.36752332928787079</v>
      </c>
      <c r="R535" s="20">
        <f t="shared" si="143"/>
        <v>-8.0018142670992987</v>
      </c>
      <c r="S535" s="20">
        <f t="shared" si="148"/>
        <v>93.549545005450327</v>
      </c>
      <c r="T535" s="1">
        <f t="shared" si="149"/>
        <v>0</v>
      </c>
    </row>
    <row r="536" spans="1:20" x14ac:dyDescent="0.25">
      <c r="A536" s="20">
        <f t="shared" si="144"/>
        <v>5.3099999999999312</v>
      </c>
      <c r="C536" s="20">
        <f t="shared" si="134"/>
        <v>18.758613743640606</v>
      </c>
      <c r="D536" s="20">
        <f t="shared" si="137"/>
        <v>7.5585479490164614E-2</v>
      </c>
      <c r="E536" s="20">
        <f t="shared" si="138"/>
        <v>1.6456668732890185</v>
      </c>
      <c r="F536" s="20">
        <f t="shared" si="139"/>
        <v>6.3491802771738284E-2</v>
      </c>
      <c r="G536" s="20">
        <f t="shared" si="140"/>
        <v>1.3823601735627757</v>
      </c>
      <c r="I536" s="20">
        <f t="shared" si="135"/>
        <v>-0.30748869242904237</v>
      </c>
      <c r="K536" s="20">
        <f t="shared" si="145"/>
        <v>17.87877214507326</v>
      </c>
      <c r="L536" s="20">
        <f t="shared" si="136"/>
        <v>-5.2823453498867981E-2</v>
      </c>
      <c r="M536" s="20">
        <f t="shared" si="141"/>
        <v>-1.1500860766137162</v>
      </c>
      <c r="N536" s="1">
        <f t="shared" si="146"/>
        <v>162.30356343699501</v>
      </c>
      <c r="P536" s="20">
        <f t="shared" si="147"/>
        <v>-5.6775959848913731</v>
      </c>
      <c r="Q536" s="20">
        <f t="shared" si="142"/>
        <v>-0.36718231433958021</v>
      </c>
      <c r="R536" s="20">
        <f t="shared" si="143"/>
        <v>-7.994389600252128</v>
      </c>
      <c r="S536" s="20">
        <f t="shared" si="148"/>
        <v>93.493169136314762</v>
      </c>
      <c r="T536" s="1">
        <f t="shared" si="149"/>
        <v>0</v>
      </c>
    </row>
    <row r="537" spans="1:20" x14ac:dyDescent="0.25">
      <c r="A537" s="20">
        <f t="shared" si="144"/>
        <v>5.319999999999931</v>
      </c>
      <c r="C537" s="20">
        <f t="shared" si="134"/>
        <v>18.772017702610167</v>
      </c>
      <c r="D537" s="20">
        <f t="shared" si="137"/>
        <v>7.569353722307208E-2</v>
      </c>
      <c r="E537" s="20">
        <f t="shared" si="138"/>
        <v>1.6480195345759217</v>
      </c>
      <c r="F537" s="20">
        <f t="shared" si="139"/>
        <v>6.3582571267380539E-2</v>
      </c>
      <c r="G537" s="20">
        <f t="shared" si="140"/>
        <v>1.384336409043774</v>
      </c>
      <c r="I537" s="20">
        <f t="shared" si="135"/>
        <v>-0.31173306409445212</v>
      </c>
      <c r="K537" s="20">
        <f t="shared" si="145"/>
        <v>17.867271284307122</v>
      </c>
      <c r="L537" s="20">
        <f t="shared" si="136"/>
        <v>-5.2544046668705074E-2</v>
      </c>
      <c r="M537" s="20">
        <f t="shared" si="141"/>
        <v>-1.1440027578642515</v>
      </c>
      <c r="N537" s="1">
        <f t="shared" si="146"/>
        <v>162.4822936541419</v>
      </c>
      <c r="P537" s="20">
        <f t="shared" si="147"/>
        <v>-5.7575398808938942</v>
      </c>
      <c r="Q537" s="20">
        <f t="shared" si="142"/>
        <v>-0.36683932776656858</v>
      </c>
      <c r="R537" s="20">
        <f t="shared" si="143"/>
        <v>-7.9869220066746918</v>
      </c>
      <c r="S537" s="20">
        <f t="shared" si="148"/>
        <v>93.435993456985827</v>
      </c>
      <c r="T537" s="1">
        <f t="shared" si="149"/>
        <v>0</v>
      </c>
    </row>
    <row r="538" spans="1:20" x14ac:dyDescent="0.25">
      <c r="A538" s="20">
        <f t="shared" si="144"/>
        <v>5.3299999999999308</v>
      </c>
      <c r="C538" s="20">
        <f t="shared" si="134"/>
        <v>18.785793964608999</v>
      </c>
      <c r="D538" s="20">
        <f t="shared" si="137"/>
        <v>7.580467675515179E-2</v>
      </c>
      <c r="E538" s="20">
        <f t="shared" si="138"/>
        <v>1.6504392936022598</v>
      </c>
      <c r="F538" s="20">
        <f t="shared" si="139"/>
        <v>6.3675928474327501E-2</v>
      </c>
      <c r="G538" s="20">
        <f t="shared" si="140"/>
        <v>1.3863690066258982</v>
      </c>
      <c r="I538" s="20">
        <f t="shared" si="135"/>
        <v>-0.31596651797093361</v>
      </c>
      <c r="K538" s="20">
        <f t="shared" si="145"/>
        <v>17.855831256728479</v>
      </c>
      <c r="L538" s="20">
        <f t="shared" si="136"/>
        <v>-5.2265721324976533E-2</v>
      </c>
      <c r="M538" s="20">
        <f t="shared" si="141"/>
        <v>-1.1379429855209349</v>
      </c>
      <c r="N538" s="1">
        <f t="shared" si="146"/>
        <v>162.66090916684709</v>
      </c>
      <c r="P538" s="20">
        <f t="shared" si="147"/>
        <v>-5.8374091009606408</v>
      </c>
      <c r="Q538" s="20">
        <f t="shared" si="142"/>
        <v>-0.36649436530527035</v>
      </c>
      <c r="R538" s="20">
        <f t="shared" si="143"/>
        <v>-7.9794113935395243</v>
      </c>
      <c r="S538" s="20">
        <f t="shared" si="148"/>
        <v>93.378018712076553</v>
      </c>
      <c r="T538" s="1">
        <f t="shared" si="149"/>
        <v>0</v>
      </c>
    </row>
    <row r="539" spans="1:20" x14ac:dyDescent="0.25">
      <c r="A539" s="20">
        <f t="shared" si="144"/>
        <v>5.3399999999999306</v>
      </c>
      <c r="C539" s="20">
        <f t="shared" si="134"/>
        <v>18.799940289479025</v>
      </c>
      <c r="D539" s="20">
        <f t="shared" si="137"/>
        <v>7.5918886603982286E-2</v>
      </c>
      <c r="E539" s="20">
        <f t="shared" si="138"/>
        <v>1.6529259003697427</v>
      </c>
      <c r="F539" s="20">
        <f t="shared" si="139"/>
        <v>6.3771864747345128E-2</v>
      </c>
      <c r="G539" s="20">
        <f t="shared" si="140"/>
        <v>1.3884577563105842</v>
      </c>
      <c r="I539" s="20">
        <f t="shared" si="135"/>
        <v>-0.32018888519205463</v>
      </c>
      <c r="K539" s="20">
        <f t="shared" si="145"/>
        <v>17.844451826873268</v>
      </c>
      <c r="L539" s="20">
        <f t="shared" si="136"/>
        <v>-5.1988454037733278E-2</v>
      </c>
      <c r="M539" s="20">
        <f t="shared" si="141"/>
        <v>-1.1319062494607726</v>
      </c>
      <c r="N539" s="1">
        <f t="shared" si="146"/>
        <v>162.83941058226509</v>
      </c>
      <c r="P539" s="20">
        <f t="shared" si="147"/>
        <v>-5.9172032148960358</v>
      </c>
      <c r="Q539" s="20">
        <f t="shared" si="142"/>
        <v>-0.36614742290471308</v>
      </c>
      <c r="R539" s="20">
        <f t="shared" si="143"/>
        <v>-7.9718576726477925</v>
      </c>
      <c r="S539" s="20">
        <f t="shared" si="148"/>
        <v>93.319245650497265</v>
      </c>
      <c r="T539" s="1">
        <f t="shared" si="149"/>
        <v>0</v>
      </c>
    </row>
    <row r="540" spans="1:20" x14ac:dyDescent="0.25">
      <c r="A540" s="20">
        <f t="shared" si="144"/>
        <v>5.3499999999999304</v>
      </c>
      <c r="C540" s="20">
        <f t="shared" si="134"/>
        <v>18.814454421183534</v>
      </c>
      <c r="D540" s="20">
        <f t="shared" si="137"/>
        <v>7.6036155281554996E-2</v>
      </c>
      <c r="E540" s="20">
        <f t="shared" si="138"/>
        <v>1.6554791047584367</v>
      </c>
      <c r="F540" s="20">
        <f t="shared" si="139"/>
        <v>6.3870370436506188E-2</v>
      </c>
      <c r="G540" s="20">
        <f t="shared" si="140"/>
        <v>1.3906024479970867</v>
      </c>
      <c r="I540" s="20">
        <f t="shared" si="135"/>
        <v>-0.32439999963001048</v>
      </c>
      <c r="K540" s="20">
        <f t="shared" si="145"/>
        <v>17.833132764378661</v>
      </c>
      <c r="L540" s="20">
        <f t="shared" si="136"/>
        <v>-5.1712221568527006E-2</v>
      </c>
      <c r="M540" s="20">
        <f t="shared" si="141"/>
        <v>-1.1258920437301765</v>
      </c>
      <c r="N540" s="1">
        <f t="shared" si="146"/>
        <v>163.01779850522132</v>
      </c>
      <c r="P540" s="20">
        <f t="shared" si="147"/>
        <v>-5.9969217916225137</v>
      </c>
      <c r="Q540" s="20">
        <f t="shared" si="142"/>
        <v>-0.36579849672600334</v>
      </c>
      <c r="R540" s="20">
        <f t="shared" si="143"/>
        <v>-7.9642607604181004</v>
      </c>
      <c r="S540" s="20">
        <f t="shared" si="148"/>
        <v>93.259675025464674</v>
      </c>
      <c r="T540" s="1">
        <f t="shared" si="149"/>
        <v>0</v>
      </c>
    </row>
    <row r="541" spans="1:20" x14ac:dyDescent="0.25">
      <c r="A541" s="20">
        <f t="shared" si="144"/>
        <v>5.3599999999999302</v>
      </c>
      <c r="C541" s="20">
        <f t="shared" si="134"/>
        <v>18.829334088260008</v>
      </c>
      <c r="D541" s="20">
        <f t="shared" si="137"/>
        <v>7.6156471293879049E-2</v>
      </c>
      <c r="E541" s="20">
        <f t="shared" si="138"/>
        <v>1.6580986565181592</v>
      </c>
      <c r="F541" s="20">
        <f t="shared" si="139"/>
        <v>6.3971435886858399E-2</v>
      </c>
      <c r="G541" s="20">
        <f t="shared" si="140"/>
        <v>1.3928028714752536</v>
      </c>
      <c r="I541" s="20">
        <f t="shared" si="135"/>
        <v>-0.32859969791232502</v>
      </c>
      <c r="K541" s="20">
        <f t="shared" si="145"/>
        <v>17.821873843941358</v>
      </c>
      <c r="L541" s="20">
        <f t="shared" si="136"/>
        <v>-5.1437000872252142E-2</v>
      </c>
      <c r="M541" s="20">
        <f t="shared" si="141"/>
        <v>-1.1198998665850675</v>
      </c>
      <c r="N541" s="1">
        <f t="shared" si="146"/>
        <v>163.19607353826291</v>
      </c>
      <c r="P541" s="20">
        <f t="shared" si="147"/>
        <v>-6.0765643992266947</v>
      </c>
      <c r="Q541" s="20">
        <f t="shared" si="142"/>
        <v>-0.36544758314175679</v>
      </c>
      <c r="R541" s="20">
        <f t="shared" si="143"/>
        <v>-7.9566205778740864</v>
      </c>
      <c r="S541" s="20">
        <f t="shared" si="148"/>
        <v>93.199307594510429</v>
      </c>
      <c r="T541" s="1">
        <f t="shared" si="149"/>
        <v>0</v>
      </c>
    </row>
    <row r="542" spans="1:20" x14ac:dyDescent="0.25">
      <c r="A542" s="20">
        <f t="shared" si="144"/>
        <v>5.3699999999999299</v>
      </c>
      <c r="C542" s="20">
        <f t="shared" si="134"/>
        <v>18.844577004274051</v>
      </c>
      <c r="D542" s="20">
        <f t="shared" si="137"/>
        <v>7.6279823140597336E-2</v>
      </c>
      <c r="E542" s="20">
        <f t="shared" si="138"/>
        <v>1.6607843052601206</v>
      </c>
      <c r="F542" s="20">
        <f t="shared" si="139"/>
        <v>6.4075051438101771E-2</v>
      </c>
      <c r="G542" s="20">
        <f t="shared" si="140"/>
        <v>1.3950588164185014</v>
      </c>
      <c r="I542" s="20">
        <f t="shared" si="135"/>
        <v>-0.33278781943712482</v>
      </c>
      <c r="K542" s="20">
        <f t="shared" si="145"/>
        <v>17.810674845275507</v>
      </c>
      <c r="L542" s="20">
        <f t="shared" si="136"/>
        <v>-5.1162769098942018E-2</v>
      </c>
      <c r="M542" s="20">
        <f t="shared" si="141"/>
        <v>-1.1139292205299809</v>
      </c>
      <c r="N542" s="1">
        <f t="shared" si="146"/>
        <v>163.37423628170902</v>
      </c>
      <c r="P542" s="20">
        <f t="shared" si="147"/>
        <v>-6.1561306050054352</v>
      </c>
      <c r="Q542" s="20">
        <f t="shared" si="142"/>
        <v>-0.36509467873547247</v>
      </c>
      <c r="R542" s="20">
        <f t="shared" si="143"/>
        <v>-7.9489370506307964</v>
      </c>
      <c r="S542" s="20">
        <f t="shared" si="148"/>
        <v>93.138144119489269</v>
      </c>
      <c r="T542" s="1">
        <f t="shared" si="149"/>
        <v>0</v>
      </c>
    </row>
    <row r="543" spans="1:20" x14ac:dyDescent="0.25">
      <c r="A543" s="20">
        <f t="shared" si="144"/>
        <v>5.3799999999999297</v>
      </c>
      <c r="C543" s="20">
        <f t="shared" si="134"/>
        <v>18.860180868274075</v>
      </c>
      <c r="D543" s="20">
        <f t="shared" si="137"/>
        <v>7.6406199314612747E-2</v>
      </c>
      <c r="E543" s="20">
        <f t="shared" si="138"/>
        <v>1.6635358004487861</v>
      </c>
      <c r="F543" s="20">
        <f t="shared" si="139"/>
        <v>6.4181207424274717E-2</v>
      </c>
      <c r="G543" s="20">
        <f t="shared" si="140"/>
        <v>1.3973700723769806</v>
      </c>
      <c r="I543" s="20">
        <f t="shared" si="135"/>
        <v>-0.33696420638699776</v>
      </c>
      <c r="K543" s="20">
        <f t="shared" si="145"/>
        <v>17.799535553070207</v>
      </c>
      <c r="L543" s="20">
        <f t="shared" si="136"/>
        <v>-5.0889503595517721E-2</v>
      </c>
      <c r="M543" s="20">
        <f t="shared" si="141"/>
        <v>-1.1079796123561447</v>
      </c>
      <c r="N543" s="1">
        <f t="shared" si="146"/>
        <v>163.55228733370075</v>
      </c>
      <c r="P543" s="20">
        <f t="shared" si="147"/>
        <v>-6.2356199755117432</v>
      </c>
      <c r="Q543" s="20">
        <f t="shared" si="142"/>
        <v>-0.3647397803008528</v>
      </c>
      <c r="R543" s="20">
        <f t="shared" si="143"/>
        <v>-7.9412101088798783</v>
      </c>
      <c r="S543" s="20">
        <f t="shared" si="148"/>
        <v>93.076185366586685</v>
      </c>
      <c r="T543" s="1">
        <f t="shared" si="149"/>
        <v>0</v>
      </c>
    </row>
    <row r="544" spans="1:20" x14ac:dyDescent="0.25">
      <c r="A544" s="20">
        <f t="shared" si="144"/>
        <v>5.3899999999999295</v>
      </c>
      <c r="C544" s="20">
        <f t="shared" si="134"/>
        <v>18.87614336524657</v>
      </c>
      <c r="D544" s="20">
        <f t="shared" si="137"/>
        <v>7.6535588301725507E-2</v>
      </c>
      <c r="E544" s="20">
        <f t="shared" si="138"/>
        <v>1.6663528913939802</v>
      </c>
      <c r="F544" s="20">
        <f t="shared" si="139"/>
        <v>6.4289894173449436E-2</v>
      </c>
      <c r="G544" s="20">
        <f t="shared" si="140"/>
        <v>1.3997364287709435</v>
      </c>
      <c r="I544" s="20">
        <f t="shared" si="135"/>
        <v>-0.34112870374144677</v>
      </c>
      <c r="K544" s="20">
        <f t="shared" si="145"/>
        <v>17.788455756946647</v>
      </c>
      <c r="L544" s="20">
        <f t="shared" si="136"/>
        <v>-5.0617181907489692E-2</v>
      </c>
      <c r="M544" s="20">
        <f t="shared" si="141"/>
        <v>-1.1020505531785258</v>
      </c>
      <c r="N544" s="1">
        <f t="shared" si="146"/>
        <v>163.73022729025084</v>
      </c>
      <c r="P544" s="20">
        <f t="shared" si="147"/>
        <v>-6.3150320766005423</v>
      </c>
      <c r="Q544" s="20">
        <f t="shared" si="142"/>
        <v>-0.3643828848410704</v>
      </c>
      <c r="R544" s="20">
        <f t="shared" si="143"/>
        <v>-7.933439687373621</v>
      </c>
      <c r="S544" s="20">
        <f t="shared" si="148"/>
        <v>93.013432106326121</v>
      </c>
      <c r="T544" s="1">
        <f t="shared" si="149"/>
        <v>0</v>
      </c>
    </row>
    <row r="545" spans="1:20" x14ac:dyDescent="0.25">
      <c r="A545" s="20">
        <f t="shared" si="144"/>
        <v>5.3999999999999293</v>
      </c>
      <c r="C545" s="20">
        <f t="shared" si="134"/>
        <v>18.892462166571608</v>
      </c>
      <c r="D545" s="20">
        <f t="shared" si="137"/>
        <v>7.6667978580280641E-2</v>
      </c>
      <c r="E545" s="20">
        <f t="shared" si="138"/>
        <v>1.6692353272432101</v>
      </c>
      <c r="F545" s="20">
        <f t="shared" si="139"/>
        <v>6.4401102007435734E-2</v>
      </c>
      <c r="G545" s="20">
        <f t="shared" si="140"/>
        <v>1.4021576748842965</v>
      </c>
      <c r="I545" s="20">
        <f t="shared" si="135"/>
        <v>-0.34528115928795355</v>
      </c>
      <c r="K545" s="20">
        <f t="shared" si="145"/>
        <v>17.777435251414861</v>
      </c>
      <c r="L545" s="20">
        <f t="shared" si="136"/>
        <v>-5.0345781780610624E-2</v>
      </c>
      <c r="M545" s="20">
        <f t="shared" si="141"/>
        <v>-1.0961415584718186</v>
      </c>
      <c r="N545" s="1">
        <f t="shared" si="146"/>
        <v>163.90805674529264</v>
      </c>
      <c r="P545" s="20">
        <f t="shared" si="147"/>
        <v>-6.3943664734742782</v>
      </c>
      <c r="Q545" s="20">
        <f t="shared" si="142"/>
        <v>-0.36402398956798299</v>
      </c>
      <c r="R545" s="20">
        <f t="shared" si="143"/>
        <v>-7.9256257254078601</v>
      </c>
      <c r="S545" s="20">
        <f t="shared" si="148"/>
        <v>92.94988511357576</v>
      </c>
      <c r="T545" s="1">
        <f t="shared" si="149"/>
        <v>0</v>
      </c>
    </row>
    <row r="546" spans="1:20" x14ac:dyDescent="0.25">
      <c r="A546" s="20">
        <f t="shared" si="144"/>
        <v>5.4099999999999291</v>
      </c>
      <c r="C546" s="20">
        <f t="shared" si="134"/>
        <v>18.909134930478441</v>
      </c>
      <c r="D546" s="20">
        <f t="shared" si="137"/>
        <v>7.6803358620826517E-2</v>
      </c>
      <c r="E546" s="20">
        <f t="shared" si="138"/>
        <v>1.672182856974233</v>
      </c>
      <c r="F546" s="20">
        <f t="shared" si="139"/>
        <v>6.4514821241494283E-2</v>
      </c>
      <c r="G546" s="20">
        <f t="shared" si="140"/>
        <v>1.4046335998583559</v>
      </c>
      <c r="I546" s="20">
        <f t="shared" si="135"/>
        <v>-0.34942142363166523</v>
      </c>
      <c r="K546" s="20">
        <f t="shared" si="145"/>
        <v>17.766473835830144</v>
      </c>
      <c r="L546" s="20">
        <f t="shared" si="136"/>
        <v>-5.0075281162480015E-2</v>
      </c>
      <c r="M546" s="20">
        <f t="shared" si="141"/>
        <v>-1.0902521481053782</v>
      </c>
      <c r="N546" s="1">
        <f t="shared" si="146"/>
        <v>164.08577629072886</v>
      </c>
      <c r="P546" s="20">
        <f t="shared" si="147"/>
        <v>-6.4736227307283567</v>
      </c>
      <c r="Q546" s="20">
        <f t="shared" si="142"/>
        <v>-0.3636630919012972</v>
      </c>
      <c r="R546" s="20">
        <f t="shared" si="143"/>
        <v>-7.9177681668037714</v>
      </c>
      <c r="S546" s="20">
        <f t="shared" si="148"/>
        <v>92.885545167554753</v>
      </c>
      <c r="T546" s="1">
        <f t="shared" si="149"/>
        <v>0</v>
      </c>
    </row>
    <row r="547" spans="1:20" x14ac:dyDescent="0.25">
      <c r="A547" s="20">
        <f t="shared" si="144"/>
        <v>5.4199999999999289</v>
      </c>
      <c r="C547" s="20">
        <f t="shared" si="134"/>
        <v>18.926159302500828</v>
      </c>
      <c r="D547" s="20">
        <f t="shared" si="137"/>
        <v>7.6941716885783329E-2</v>
      </c>
      <c r="E547" s="20">
        <f t="shared" si="138"/>
        <v>1.6751952293878365</v>
      </c>
      <c r="F547" s="20">
        <f t="shared" si="139"/>
        <v>6.4631042184058005E-2</v>
      </c>
      <c r="G547" s="20">
        <f t="shared" si="140"/>
        <v>1.4071639926857828</v>
      </c>
      <c r="I547" s="20">
        <f t="shared" si="135"/>
        <v>-0.35354935020371953</v>
      </c>
      <c r="K547" s="20">
        <f t="shared" si="145"/>
        <v>17.755571314349091</v>
      </c>
      <c r="L547" s="20">
        <f t="shared" si="136"/>
        <v>-4.9805658204098699E-2</v>
      </c>
      <c r="M547" s="20">
        <f t="shared" si="141"/>
        <v>-1.0843818463770674</v>
      </c>
      <c r="N547" s="1">
        <f t="shared" si="146"/>
        <v>164.26338651647976</v>
      </c>
      <c r="P547" s="20">
        <f t="shared" si="147"/>
        <v>-6.5528004123963948</v>
      </c>
      <c r="Q547" s="20">
        <f t="shared" si="142"/>
        <v>-0.36330018946768305</v>
      </c>
      <c r="R547" s="20">
        <f t="shared" si="143"/>
        <v>-7.9098669598885927</v>
      </c>
      <c r="S547" s="20">
        <f t="shared" si="148"/>
        <v>92.820413051839139</v>
      </c>
      <c r="T547" s="1">
        <f t="shared" si="149"/>
        <v>0</v>
      </c>
    </row>
    <row r="548" spans="1:20" x14ac:dyDescent="0.25">
      <c r="A548" s="20">
        <f t="shared" si="144"/>
        <v>5.4299999999999287</v>
      </c>
      <c r="C548" s="20">
        <f t="shared" si="134"/>
        <v>18.943532915931979</v>
      </c>
      <c r="D548" s="20">
        <f t="shared" si="137"/>
        <v>7.7083041829122442E-2</v>
      </c>
      <c r="E548" s="20">
        <f t="shared" si="138"/>
        <v>1.6782721931008588</v>
      </c>
      <c r="F548" s="20">
        <f t="shared" si="139"/>
        <v>6.4749755136462847E-2</v>
      </c>
      <c r="G548" s="20">
        <f t="shared" si="140"/>
        <v>1.4097486422047214</v>
      </c>
      <c r="I548" s="20">
        <f t="shared" si="135"/>
        <v>-0.35766479526822476</v>
      </c>
      <c r="K548" s="20">
        <f t="shared" si="145"/>
        <v>17.744727495885321</v>
      </c>
      <c r="L548" s="20">
        <f t="shared" si="136"/>
        <v>-4.9536891261373922E-2</v>
      </c>
      <c r="M548" s="20">
        <f t="shared" si="141"/>
        <v>-1.0785301820460249</v>
      </c>
      <c r="N548" s="1">
        <f t="shared" si="146"/>
        <v>164.44088801053095</v>
      </c>
      <c r="P548" s="20">
        <f t="shared" si="147"/>
        <v>-6.6318990819952806</v>
      </c>
      <c r="Q548" s="20">
        <f t="shared" si="142"/>
        <v>-0.36293528009983939</v>
      </c>
      <c r="R548" s="20">
        <f t="shared" si="143"/>
        <v>-7.9019220574752751</v>
      </c>
      <c r="S548" s="20">
        <f t="shared" si="148"/>
        <v>92.754489554367183</v>
      </c>
      <c r="T548" s="1">
        <f t="shared" si="149"/>
        <v>0</v>
      </c>
    </row>
    <row r="549" spans="1:20" x14ac:dyDescent="0.25">
      <c r="A549" s="20">
        <f t="shared" si="144"/>
        <v>5.4399999999999284</v>
      </c>
      <c r="C549" s="20">
        <f t="shared" si="134"/>
        <v>18.961253392278778</v>
      </c>
      <c r="D549" s="20">
        <f t="shared" si="137"/>
        <v>7.7227321896056078E-2</v>
      </c>
      <c r="E549" s="20">
        <f t="shared" si="138"/>
        <v>1.6814134965394314</v>
      </c>
      <c r="F549" s="20">
        <f t="shared" si="139"/>
        <v>6.4870950392687116E-2</v>
      </c>
      <c r="G549" s="20">
        <f t="shared" si="140"/>
        <v>1.4123873370931226</v>
      </c>
      <c r="I549" s="20">
        <f t="shared" si="135"/>
        <v>-0.36176761792791234</v>
      </c>
      <c r="K549" s="20">
        <f t="shared" si="145"/>
        <v>17.733942194064863</v>
      </c>
      <c r="L549" s="20">
        <f t="shared" si="136"/>
        <v>-4.9268958896573678E-2</v>
      </c>
      <c r="M549" s="20">
        <f t="shared" si="141"/>
        <v>-1.0726966883643301</v>
      </c>
      <c r="N549" s="1">
        <f t="shared" si="146"/>
        <v>164.61828135898071</v>
      </c>
      <c r="P549" s="20">
        <f t="shared" si="147"/>
        <v>-6.7109183025700334</v>
      </c>
      <c r="Q549" s="20">
        <f t="shared" si="142"/>
        <v>-0.3625683618355125</v>
      </c>
      <c r="R549" s="20">
        <f t="shared" si="143"/>
        <v>-7.8939334168411168</v>
      </c>
      <c r="S549" s="20">
        <f t="shared" si="148"/>
        <v>92.687775467444354</v>
      </c>
      <c r="T549" s="1">
        <f t="shared" si="149"/>
        <v>0</v>
      </c>
    </row>
    <row r="550" spans="1:20" x14ac:dyDescent="0.25">
      <c r="A550" s="20">
        <f t="shared" si="144"/>
        <v>5.4499999999999282</v>
      </c>
      <c r="C550" s="20">
        <f t="shared" si="134"/>
        <v>18.979318341715111</v>
      </c>
      <c r="D550" s="20">
        <f t="shared" si="137"/>
        <v>7.7374545522737259E-2</v>
      </c>
      <c r="E550" s="20">
        <f t="shared" si="138"/>
        <v>1.6846188879324464</v>
      </c>
      <c r="F550" s="20">
        <f t="shared" si="139"/>
        <v>6.49946182390993E-2</v>
      </c>
      <c r="G550" s="20">
        <f t="shared" si="140"/>
        <v>1.4150798658632551</v>
      </c>
      <c r="I550" s="20">
        <f t="shared" si="135"/>
        <v>-0.36585768012847819</v>
      </c>
      <c r="K550" s="20">
        <f t="shared" si="145"/>
        <v>17.723215227181221</v>
      </c>
      <c r="L550" s="20">
        <f t="shared" si="136"/>
        <v>-4.9001839879730461E-2</v>
      </c>
      <c r="M550" s="20">
        <f t="shared" si="141"/>
        <v>-1.066880903107565</v>
      </c>
      <c r="N550" s="1">
        <f t="shared" si="146"/>
        <v>164.79556714608694</v>
      </c>
      <c r="P550" s="20">
        <f t="shared" si="147"/>
        <v>-6.7898576367384447</v>
      </c>
      <c r="Q550" s="20">
        <f t="shared" si="142"/>
        <v>-0.36219943291646872</v>
      </c>
      <c r="R550" s="20">
        <f t="shared" si="143"/>
        <v>-7.8859009997053935</v>
      </c>
      <c r="S550" s="20">
        <f t="shared" si="148"/>
        <v>92.620271587747808</v>
      </c>
      <c r="T550" s="1">
        <f t="shared" si="149"/>
        <v>0</v>
      </c>
    </row>
    <row r="551" spans="1:20" x14ac:dyDescent="0.25">
      <c r="A551" s="20">
        <f t="shared" si="144"/>
        <v>5.459999999999928</v>
      </c>
      <c r="C551" s="20">
        <f t="shared" si="134"/>
        <v>18.997725363534052</v>
      </c>
      <c r="D551" s="20">
        <f t="shared" si="137"/>
        <v>7.7524701135970056E-2</v>
      </c>
      <c r="E551" s="20">
        <f t="shared" si="138"/>
        <v>1.6878881153052483</v>
      </c>
      <c r="F551" s="20">
        <f t="shared" si="139"/>
        <v>6.5120748954214852E-2</v>
      </c>
      <c r="G551" s="20">
        <f t="shared" si="140"/>
        <v>1.4178260168564087</v>
      </c>
      <c r="I551" s="20">
        <f t="shared" si="135"/>
        <v>-0.36993484666163418</v>
      </c>
      <c r="K551" s="20">
        <f t="shared" si="145"/>
        <v>17.712546418150147</v>
      </c>
      <c r="L551" s="20">
        <f t="shared" si="136"/>
        <v>-4.8735513189993515E-2</v>
      </c>
      <c r="M551" s="20">
        <f t="shared" si="141"/>
        <v>-1.0610823686042568</v>
      </c>
      <c r="N551" s="1">
        <f t="shared" si="146"/>
        <v>164.97274595431361</v>
      </c>
      <c r="P551" s="20">
        <f t="shared" si="147"/>
        <v>-6.868716646735499</v>
      </c>
      <c r="Q551" s="20">
        <f t="shared" si="142"/>
        <v>-0.3618284917874216</v>
      </c>
      <c r="R551" s="20">
        <f t="shared" si="143"/>
        <v>-7.8778247722060009</v>
      </c>
      <c r="S551" s="20">
        <f t="shared" si="148"/>
        <v>92.551978716330439</v>
      </c>
      <c r="T551" s="1">
        <f t="shared" si="149"/>
        <v>0</v>
      </c>
    </row>
    <row r="552" spans="1:20" x14ac:dyDescent="0.25">
      <c r="A552" s="20">
        <f t="shared" si="144"/>
        <v>5.4699999999999278</v>
      </c>
      <c r="C552" s="20">
        <f t="shared" si="134"/>
        <v>19.016472046598683</v>
      </c>
      <c r="D552" s="20">
        <f t="shared" si="137"/>
        <v>7.7677777152930186E-2</v>
      </c>
      <c r="E552" s="20">
        <f t="shared" si="138"/>
        <v>1.6912209264735507</v>
      </c>
      <c r="F552" s="20">
        <f t="shared" si="139"/>
        <v>6.5249332808461361E-2</v>
      </c>
      <c r="G552" s="20">
        <f t="shared" si="140"/>
        <v>1.4206255782377828</v>
      </c>
      <c r="I552" s="20">
        <f t="shared" si="135"/>
        <v>-0.3739989851668874</v>
      </c>
      <c r="K552" s="20">
        <f t="shared" si="145"/>
        <v>17.701935594464103</v>
      </c>
      <c r="L552" s="20">
        <f t="shared" si="136"/>
        <v>-4.8469958016929833E-2</v>
      </c>
      <c r="M552" s="20">
        <f t="shared" si="141"/>
        <v>-1.0553006317642029</v>
      </c>
      <c r="N552" s="1">
        <f t="shared" si="146"/>
        <v>165.14981836437667</v>
      </c>
      <c r="P552" s="20">
        <f t="shared" si="147"/>
        <v>-6.9474948944575594</v>
      </c>
      <c r="Q552" s="20">
        <f t="shared" si="142"/>
        <v>-0.3614555370949164</v>
      </c>
      <c r="R552" s="20">
        <f t="shared" si="143"/>
        <v>-7.8697047048751667</v>
      </c>
      <c r="S552" s="20">
        <f t="shared" si="148"/>
        <v>92.482897658624466</v>
      </c>
      <c r="T552" s="1">
        <f t="shared" si="149"/>
        <v>0</v>
      </c>
    </row>
    <row r="553" spans="1:20" x14ac:dyDescent="0.25">
      <c r="A553" s="20">
        <f t="shared" si="144"/>
        <v>5.4799999999999276</v>
      </c>
      <c r="C553" s="20">
        <f t="shared" si="134"/>
        <v>19.035555969791375</v>
      </c>
      <c r="D553" s="20">
        <f t="shared" si="137"/>
        <v>7.7833761980895907E-2</v>
      </c>
      <c r="E553" s="20">
        <f t="shared" si="138"/>
        <v>1.694617069037577</v>
      </c>
      <c r="F553" s="20">
        <f t="shared" si="139"/>
        <v>6.5380360063952564E-2</v>
      </c>
      <c r="G553" s="20">
        <f t="shared" si="140"/>
        <v>1.4234783379915648</v>
      </c>
      <c r="I553" s="20">
        <f t="shared" si="135"/>
        <v>-0.37804996613206943</v>
      </c>
      <c r="K553" s="20">
        <f t="shared" si="145"/>
        <v>17.69138258814646</v>
      </c>
      <c r="L553" s="20">
        <f t="shared" si="136"/>
        <v>-4.8205153761773215E-2</v>
      </c>
      <c r="M553" s="20">
        <f t="shared" si="141"/>
        <v>-1.0495352441056656</v>
      </c>
      <c r="N553" s="1">
        <f t="shared" si="146"/>
        <v>165.32678495528972</v>
      </c>
      <c r="P553" s="20">
        <f t="shared" si="147"/>
        <v>-7.026191941506311</v>
      </c>
      <c r="Q553" s="20">
        <f t="shared" si="142"/>
        <v>-0.36108056768617108</v>
      </c>
      <c r="R553" s="20">
        <f t="shared" si="143"/>
        <v>-7.8615407726142195</v>
      </c>
      <c r="S553" s="20">
        <f t="shared" si="148"/>
        <v>92.413029224444642</v>
      </c>
      <c r="T553" s="1">
        <f t="shared" si="149"/>
        <v>0</v>
      </c>
    </row>
    <row r="554" spans="1:20" x14ac:dyDescent="0.25">
      <c r="A554" s="20">
        <f t="shared" si="144"/>
        <v>5.4899999999999274</v>
      </c>
      <c r="C554" s="20">
        <f t="shared" si="134"/>
        <v>19.054974702461237</v>
      </c>
      <c r="D554" s="20">
        <f t="shared" si="137"/>
        <v>7.7992644016988702E-2</v>
      </c>
      <c r="E554" s="20">
        <f t="shared" si="138"/>
        <v>1.6980762903764142</v>
      </c>
      <c r="F554" s="20">
        <f t="shared" si="139"/>
        <v>6.5513820974270512E-2</v>
      </c>
      <c r="G554" s="20">
        <f t="shared" si="140"/>
        <v>1.4263840839161879</v>
      </c>
      <c r="I554" s="20">
        <f t="shared" si="135"/>
        <v>-0.3820876628926354</v>
      </c>
      <c r="K554" s="20">
        <f t="shared" si="145"/>
        <v>17.680887235705402</v>
      </c>
      <c r="L554" s="20">
        <f t="shared" si="136"/>
        <v>-4.7941080038621103E-2</v>
      </c>
      <c r="M554" s="20">
        <f t="shared" si="141"/>
        <v>-1.0437857617814306</v>
      </c>
      <c r="N554" s="1">
        <f t="shared" si="146"/>
        <v>165.50364630440899</v>
      </c>
      <c r="P554" s="20">
        <f t="shared" si="147"/>
        <v>-7.1048073492324528</v>
      </c>
      <c r="Q554" s="20">
        <f t="shared" si="142"/>
        <v>-0.36070358260787722</v>
      </c>
      <c r="R554" s="20">
        <f t="shared" si="143"/>
        <v>-7.8533329546674775</v>
      </c>
      <c r="S554" s="20">
        <f t="shared" si="148"/>
        <v>92.342374227990945</v>
      </c>
      <c r="T554" s="1">
        <f t="shared" si="149"/>
        <v>0</v>
      </c>
    </row>
    <row r="555" spans="1:20" x14ac:dyDescent="0.25">
      <c r="A555" s="20">
        <f t="shared" si="144"/>
        <v>5.4999999999999272</v>
      </c>
      <c r="C555" s="20">
        <f t="shared" si="134"/>
        <v>19.074725804869622</v>
      </c>
      <c r="D555" s="20">
        <f t="shared" si="137"/>
        <v>7.8154411647924471E-2</v>
      </c>
      <c r="E555" s="20">
        <f t="shared" si="138"/>
        <v>1.7015983376425969</v>
      </c>
      <c r="F555" s="20">
        <f t="shared" si="139"/>
        <v>6.5649705784256565E-2</v>
      </c>
      <c r="G555" s="20">
        <f t="shared" si="140"/>
        <v>1.4293426036197816</v>
      </c>
      <c r="I555" s="20">
        <f t="shared" si="135"/>
        <v>-0.38611195162975576</v>
      </c>
      <c r="K555" s="20">
        <f t="shared" si="145"/>
        <v>17.670449378087589</v>
      </c>
      <c r="L555" s="20">
        <f t="shared" si="136"/>
        <v>-4.76777166755794E-2</v>
      </c>
      <c r="M555" s="20">
        <f t="shared" si="141"/>
        <v>-1.0380517456037317</v>
      </c>
      <c r="N555" s="1">
        <f t="shared" si="146"/>
        <v>165.68040298747795</v>
      </c>
      <c r="P555" s="20">
        <f t="shared" si="147"/>
        <v>-7.1833406787791274</v>
      </c>
      <c r="Q555" s="20">
        <f t="shared" si="142"/>
        <v>-0.36032458110496052</v>
      </c>
      <c r="R555" s="20">
        <f t="shared" si="143"/>
        <v>-7.8450812345952654</v>
      </c>
      <c r="S555" s="20">
        <f t="shared" si="148"/>
        <v>92.270933487850897</v>
      </c>
      <c r="T555" s="1">
        <f t="shared" si="149"/>
        <v>0</v>
      </c>
    </row>
    <row r="556" spans="1:20" x14ac:dyDescent="0.25">
      <c r="A556" s="20">
        <f t="shared" si="144"/>
        <v>5.509999999999927</v>
      </c>
      <c r="C556" s="20">
        <f t="shared" si="134"/>
        <v>19.094806828633402</v>
      </c>
      <c r="D556" s="20">
        <f t="shared" si="137"/>
        <v>7.8319053249774423E-2</v>
      </c>
      <c r="E556" s="20">
        <f t="shared" si="138"/>
        <v>1.7051829577569002</v>
      </c>
      <c r="F556" s="20">
        <f t="shared" si="139"/>
        <v>6.5788004729810515E-2</v>
      </c>
      <c r="G556" s="20">
        <f t="shared" si="140"/>
        <v>1.432353684515796</v>
      </c>
      <c r="I556" s="20">
        <f t="shared" si="135"/>
        <v>-0.39012271136722343</v>
      </c>
      <c r="K556" s="20">
        <f t="shared" si="145"/>
        <v>17.660068860631551</v>
      </c>
      <c r="L556" s="20">
        <f t="shared" si="136"/>
        <v>-4.7415043715854567E-2</v>
      </c>
      <c r="M556" s="20">
        <f t="shared" si="141"/>
        <v>-1.0323327610680288</v>
      </c>
      <c r="N556" s="1">
        <f t="shared" si="146"/>
        <v>165.85705557867155</v>
      </c>
      <c r="P556" s="20">
        <f t="shared" si="147"/>
        <v>-7.2617914911250798</v>
      </c>
      <c r="Q556" s="20">
        <f t="shared" si="142"/>
        <v>-0.35994356261930266</v>
      </c>
      <c r="R556" s="20">
        <f t="shared" si="143"/>
        <v>-7.8367856002460847</v>
      </c>
      <c r="S556" s="20">
        <f t="shared" si="148"/>
        <v>92.198707827001371</v>
      </c>
      <c r="T556" s="1">
        <f t="shared" si="149"/>
        <v>0</v>
      </c>
    </row>
    <row r="557" spans="1:20" x14ac:dyDescent="0.25">
      <c r="A557" s="20">
        <f t="shared" si="144"/>
        <v>5.5199999999999267</v>
      </c>
      <c r="C557" s="20">
        <f t="shared" ref="C557:C620" si="150">SQRT((K557^2)+(P557^2))</f>
        <v>19.115215317165902</v>
      </c>
      <c r="D557" s="20">
        <f t="shared" si="137"/>
        <v>7.8486557187736061E-2</v>
      </c>
      <c r="E557" s="20">
        <f t="shared" si="138"/>
        <v>1.7088298974033542</v>
      </c>
      <c r="F557" s="20">
        <f t="shared" si="139"/>
        <v>6.5928708037698291E-2</v>
      </c>
      <c r="G557" s="20">
        <f t="shared" si="140"/>
        <v>1.4354171138188176</v>
      </c>
      <c r="I557" s="20">
        <f t="shared" ref="I557:I620" si="151">ATAN(P557/K557)</f>
        <v>-0.39411982396719814</v>
      </c>
      <c r="K557" s="20">
        <f t="shared" si="145"/>
        <v>17.649745533020869</v>
      </c>
      <c r="L557" s="20">
        <f t="shared" ref="L557:L620" si="152">-(D557*COS(I557))-(F557*SIN(I557))</f>
        <v>-4.7153041418793396E-2</v>
      </c>
      <c r="M557" s="20">
        <f t="shared" si="141"/>
        <v>-1.0266283783756456</v>
      </c>
      <c r="N557" s="1">
        <f t="shared" si="146"/>
        <v>166.03360465063983</v>
      </c>
      <c r="P557" s="20">
        <f t="shared" si="147"/>
        <v>-7.3401593471275408</v>
      </c>
      <c r="Q557" s="20">
        <f t="shared" si="142"/>
        <v>-0.35956052678842609</v>
      </c>
      <c r="R557" s="20">
        <f t="shared" si="143"/>
        <v>-7.8284460437279799</v>
      </c>
      <c r="S557" s="20">
        <f t="shared" si="148"/>
        <v>92.12569807281011</v>
      </c>
      <c r="T557" s="1">
        <f t="shared" si="149"/>
        <v>0</v>
      </c>
    </row>
    <row r="558" spans="1:20" x14ac:dyDescent="0.25">
      <c r="A558" s="20">
        <f t="shared" si="144"/>
        <v>5.5299999999999265</v>
      </c>
      <c r="C558" s="20">
        <f t="shared" si="150"/>
        <v>19.135948806115245</v>
      </c>
      <c r="D558" s="20">
        <f t="shared" si="137"/>
        <v>7.8656911815914207E-2</v>
      </c>
      <c r="E558" s="20">
        <f t="shared" si="138"/>
        <v>1.7125389030244766</v>
      </c>
      <c r="F558" s="20">
        <f t="shared" si="139"/>
        <v>6.6071805925367932E-2</v>
      </c>
      <c r="G558" s="20">
        <f t="shared" si="140"/>
        <v>1.4385326785405603</v>
      </c>
      <c r="I558" s="20">
        <f t="shared" si="151"/>
        <v>-0.39810317412481389</v>
      </c>
      <c r="K558" s="20">
        <f t="shared" si="145"/>
        <v>17.639479249237112</v>
      </c>
      <c r="L558" s="20">
        <f t="shared" si="152"/>
        <v>-4.6891690260870034E-2</v>
      </c>
      <c r="M558" s="20">
        <f t="shared" si="141"/>
        <v>-1.0209381724552589</v>
      </c>
      <c r="N558" s="1">
        <f t="shared" si="146"/>
        <v>166.21005077455112</v>
      </c>
      <c r="P558" s="20">
        <f t="shared" si="147"/>
        <v>-7.4184438075648202</v>
      </c>
      <c r="Q558" s="20">
        <f t="shared" si="142"/>
        <v>-0.35917547344414247</v>
      </c>
      <c r="R558" s="20">
        <f t="shared" si="143"/>
        <v>-7.8200625613791095</v>
      </c>
      <c r="S558" s="20">
        <f t="shared" si="148"/>
        <v>92.051905057036649</v>
      </c>
      <c r="T558" s="1">
        <f t="shared" si="149"/>
        <v>0</v>
      </c>
    </row>
    <row r="559" spans="1:20" x14ac:dyDescent="0.25">
      <c r="A559" s="20">
        <f t="shared" si="144"/>
        <v>5.5399999999999263</v>
      </c>
      <c r="C559" s="20">
        <f t="shared" si="150"/>
        <v>19.157004823799937</v>
      </c>
      <c r="D559" s="20">
        <f t="shared" si="137"/>
        <v>7.8830105477111584E-2</v>
      </c>
      <c r="E559" s="20">
        <f t="shared" si="138"/>
        <v>1.7163097208167122</v>
      </c>
      <c r="F559" s="20">
        <f t="shared" si="139"/>
        <v>6.6217288600773735E-2</v>
      </c>
      <c r="G559" s="20">
        <f t="shared" si="140"/>
        <v>1.4417001654860382</v>
      </c>
      <c r="I559" s="20">
        <f t="shared" si="151"/>
        <v>-0.40207264936167175</v>
      </c>
      <c r="K559" s="20">
        <f t="shared" si="145"/>
        <v>17.629269867512559</v>
      </c>
      <c r="L559" s="20">
        <f t="shared" si="152"/>
        <v>-4.6630970936620206E-2</v>
      </c>
      <c r="M559" s="20">
        <f t="shared" si="141"/>
        <v>-1.0152617229832399</v>
      </c>
      <c r="N559" s="1">
        <f t="shared" si="146"/>
        <v>166.38639452013487</v>
      </c>
      <c r="P559" s="20">
        <f t="shared" si="147"/>
        <v>-7.4966444331786111</v>
      </c>
      <c r="Q559" s="20">
        <f t="shared" si="142"/>
        <v>-0.35878840261116607</v>
      </c>
      <c r="R559" s="20">
        <f t="shared" si="143"/>
        <v>-7.8116351537375586</v>
      </c>
      <c r="S559" s="20">
        <f t="shared" si="148"/>
        <v>91.977329615832929</v>
      </c>
      <c r="T559" s="1">
        <f t="shared" si="149"/>
        <v>0</v>
      </c>
    </row>
    <row r="560" spans="1:20" x14ac:dyDescent="0.25">
      <c r="A560" s="20">
        <f t="shared" si="144"/>
        <v>5.5499999999999261</v>
      </c>
      <c r="C560" s="20">
        <f t="shared" si="150"/>
        <v>19.178380891641545</v>
      </c>
      <c r="D560" s="20">
        <f t="shared" si="137"/>
        <v>7.9006126502629406E-2</v>
      </c>
      <c r="E560" s="20">
        <f t="shared" si="138"/>
        <v>1.7201420967260921</v>
      </c>
      <c r="F560" s="20">
        <f t="shared" si="139"/>
        <v>6.6365146262208713E-2</v>
      </c>
      <c r="G560" s="20">
        <f t="shared" si="140"/>
        <v>1.4449193612499176</v>
      </c>
      <c r="I560" s="20">
        <f t="shared" si="151"/>
        <v>-0.40602814001824467</v>
      </c>
      <c r="K560" s="20">
        <f t="shared" si="145"/>
        <v>17.619117250282727</v>
      </c>
      <c r="L560" s="20">
        <f t="shared" si="152"/>
        <v>-4.6370864359522992E-2</v>
      </c>
      <c r="M560" s="20">
        <f t="shared" si="141"/>
        <v>-1.0095986144028519</v>
      </c>
      <c r="N560" s="1">
        <f t="shared" si="146"/>
        <v>166.56263645572386</v>
      </c>
      <c r="P560" s="20">
        <f t="shared" si="147"/>
        <v>-7.5747607847159868</v>
      </c>
      <c r="Q560" s="20">
        <f t="shared" si="142"/>
        <v>-0.3583993145056939</v>
      </c>
      <c r="R560" s="20">
        <f t="shared" si="143"/>
        <v>-7.8031638255104268</v>
      </c>
      <c r="S560" s="20">
        <f t="shared" si="148"/>
        <v>91.901972589743451</v>
      </c>
      <c r="T560" s="1">
        <f t="shared" si="149"/>
        <v>0</v>
      </c>
    </row>
    <row r="561" spans="1:20" x14ac:dyDescent="0.25">
      <c r="A561" s="20">
        <f t="shared" si="144"/>
        <v>5.5599999999999259</v>
      </c>
      <c r="C561" s="20">
        <f t="shared" si="150"/>
        <v>19.200074524594235</v>
      </c>
      <c r="D561" s="20">
        <f t="shared" si="137"/>
        <v>7.9184963212077478E-2</v>
      </c>
      <c r="E561" s="20">
        <f t="shared" si="138"/>
        <v>1.7240357764440992</v>
      </c>
      <c r="F561" s="20">
        <f t="shared" si="139"/>
        <v>6.651536909814508E-2</v>
      </c>
      <c r="G561" s="20">
        <f t="shared" si="140"/>
        <v>1.4481900522130433</v>
      </c>
      <c r="I561" s="20">
        <f t="shared" si="151"/>
        <v>-0.4099695392452174</v>
      </c>
      <c r="K561" s="20">
        <f t="shared" si="145"/>
        <v>17.609021264138697</v>
      </c>
      <c r="L561" s="20">
        <f t="shared" si="152"/>
        <v>-4.6111351662829703E-2</v>
      </c>
      <c r="M561" s="20">
        <f t="shared" si="141"/>
        <v>-1.003948435942297</v>
      </c>
      <c r="N561" s="1">
        <f t="shared" si="146"/>
        <v>166.73877714829598</v>
      </c>
      <c r="P561" s="20">
        <f t="shared" si="147"/>
        <v>-7.6527924229710909</v>
      </c>
      <c r="Q561" s="20">
        <f t="shared" si="142"/>
        <v>-0.3580082095339534</v>
      </c>
      <c r="R561" s="20">
        <f t="shared" si="143"/>
        <v>-7.7946485855422036</v>
      </c>
      <c r="S561" s="20">
        <f t="shared" si="148"/>
        <v>91.825834823705009</v>
      </c>
      <c r="T561" s="1">
        <f t="shared" si="149"/>
        <v>0</v>
      </c>
    </row>
    <row r="562" spans="1:20" x14ac:dyDescent="0.25">
      <c r="A562" s="20">
        <f t="shared" si="144"/>
        <v>5.5699999999999257</v>
      </c>
      <c r="C562" s="20">
        <f t="shared" si="150"/>
        <v>19.222083231571101</v>
      </c>
      <c r="D562" s="20">
        <f t="shared" si="137"/>
        <v>7.9366603913194139E-2</v>
      </c>
      <c r="E562" s="20">
        <f t="shared" si="138"/>
        <v>1.7279905054037479</v>
      </c>
      <c r="F562" s="20">
        <f t="shared" si="139"/>
        <v>6.6667947287083071E-2</v>
      </c>
      <c r="G562" s="20">
        <f t="shared" si="140"/>
        <v>1.4515120245391482</v>
      </c>
      <c r="I562" s="20">
        <f t="shared" si="151"/>
        <v>-0.41389674299378904</v>
      </c>
      <c r="K562" s="20">
        <f t="shared" si="145"/>
        <v>17.598981779779272</v>
      </c>
      <c r="L562" s="20">
        <f t="shared" si="152"/>
        <v>-4.5852414200340294E-2</v>
      </c>
      <c r="M562" s="20">
        <f t="shared" si="141"/>
        <v>-0.99831078163161979</v>
      </c>
      <c r="N562" s="1">
        <f t="shared" si="146"/>
        <v>166.91481716351558</v>
      </c>
      <c r="P562" s="20">
        <f t="shared" si="147"/>
        <v>-7.7307389088265133</v>
      </c>
      <c r="Q562" s="20">
        <f t="shared" si="142"/>
        <v>-0.35761508829071875</v>
      </c>
      <c r="R562" s="20">
        <f t="shared" si="143"/>
        <v>-7.7860894467824684</v>
      </c>
      <c r="S562" s="20">
        <f t="shared" si="148"/>
        <v>91.748917167046017</v>
      </c>
      <c r="T562" s="1">
        <f t="shared" si="149"/>
        <v>0</v>
      </c>
    </row>
    <row r="563" spans="1:20" x14ac:dyDescent="0.25">
      <c r="A563" s="20">
        <f t="shared" si="144"/>
        <v>5.5799999999999255</v>
      </c>
      <c r="C563" s="20">
        <f t="shared" si="150"/>
        <v>19.244404515867021</v>
      </c>
      <c r="D563" s="20">
        <f t="shared" si="137"/>
        <v>7.955103690167574E-2</v>
      </c>
      <c r="E563" s="20">
        <f t="shared" si="138"/>
        <v>1.7320060287758707</v>
      </c>
      <c r="F563" s="20">
        <f t="shared" si="139"/>
        <v>6.6822870997407621E-2</v>
      </c>
      <c r="G563" s="20">
        <f t="shared" si="140"/>
        <v>1.4548850641717315</v>
      </c>
      <c r="I563" s="20">
        <f t="shared" si="151"/>
        <v>-0.41780965000496323</v>
      </c>
      <c r="K563" s="20">
        <f t="shared" si="145"/>
        <v>17.588998671962955</v>
      </c>
      <c r="L563" s="20">
        <f t="shared" si="152"/>
        <v>-4.5594033547127384E-2</v>
      </c>
      <c r="M563" s="20">
        <f t="shared" si="141"/>
        <v>-0.99268525031847132</v>
      </c>
      <c r="N563" s="1">
        <f t="shared" si="146"/>
        <v>167.09075706577428</v>
      </c>
      <c r="P563" s="20">
        <f t="shared" si="147"/>
        <v>-7.8085998032943378</v>
      </c>
      <c r="Q563" s="20">
        <f t="shared" si="142"/>
        <v>-0.35721995155779696</v>
      </c>
      <c r="R563" s="20">
        <f t="shared" si="143"/>
        <v>-7.7774864262529277</v>
      </c>
      <c r="S563" s="20">
        <f t="shared" si="148"/>
        <v>91.67122047348542</v>
      </c>
      <c r="T563" s="1">
        <f t="shared" si="149"/>
        <v>0</v>
      </c>
    </row>
    <row r="564" spans="1:20" x14ac:dyDescent="0.25">
      <c r="A564" s="20">
        <f t="shared" si="144"/>
        <v>5.5899999999999253</v>
      </c>
      <c r="C564" s="20">
        <f t="shared" si="150"/>
        <v>19.267035875577939</v>
      </c>
      <c r="D564" s="20">
        <f t="shared" si="137"/>
        <v>7.973825046101532E-2</v>
      </c>
      <c r="E564" s="20">
        <f t="shared" si="138"/>
        <v>1.7360820914656068</v>
      </c>
      <c r="F564" s="20">
        <f t="shared" si="139"/>
        <v>6.6980130387252867E-2</v>
      </c>
      <c r="G564" s="20">
        <f t="shared" si="140"/>
        <v>1.4583089568311096</v>
      </c>
      <c r="I564" s="20">
        <f t="shared" si="151"/>
        <v>-0.42170816179785203</v>
      </c>
      <c r="K564" s="20">
        <f t="shared" si="145"/>
        <v>17.57907181945977</v>
      </c>
      <c r="L564" s="20">
        <f t="shared" si="152"/>
        <v>-4.5336191500207651E-2</v>
      </c>
      <c r="M564" s="20">
        <f t="shared" si="141"/>
        <v>-0.98707144568272698</v>
      </c>
      <c r="N564" s="1">
        <f t="shared" si="146"/>
        <v>167.26659741823138</v>
      </c>
      <c r="P564" s="20">
        <f t="shared" si="147"/>
        <v>-7.8863746675568667</v>
      </c>
      <c r="Q564" s="20">
        <f t="shared" si="142"/>
        <v>-0.35682280030248636</v>
      </c>
      <c r="R564" s="20">
        <f t="shared" si="143"/>
        <v>-7.7688395450138552</v>
      </c>
      <c r="S564" s="20">
        <f t="shared" si="148"/>
        <v>91.592745601131156</v>
      </c>
      <c r="T564" s="1">
        <f t="shared" si="149"/>
        <v>0</v>
      </c>
    </row>
    <row r="565" spans="1:20" x14ac:dyDescent="0.25">
      <c r="A565" s="20">
        <f t="shared" si="144"/>
        <v>5.599999999999925</v>
      </c>
      <c r="C565" s="20">
        <f t="shared" si="150"/>
        <v>19.289974804016442</v>
      </c>
      <c r="D565" s="20">
        <f t="shared" si="137"/>
        <v>7.9928232862351137E-2</v>
      </c>
      <c r="E565" s="20">
        <f t="shared" si="138"/>
        <v>1.7402184381091039</v>
      </c>
      <c r="F565" s="20">
        <f t="shared" si="139"/>
        <v>6.7139715604374955E-2</v>
      </c>
      <c r="G565" s="20">
        <f t="shared" si="140"/>
        <v>1.4617834880116471</v>
      </c>
      <c r="I565" s="20">
        <f t="shared" si="151"/>
        <v>-0.42559218265702126</v>
      </c>
      <c r="K565" s="20">
        <f t="shared" si="145"/>
        <v>17.569201105002943</v>
      </c>
      <c r="L565" s="20">
        <f t="shared" si="152"/>
        <v>-4.5078870079161421E-2</v>
      </c>
      <c r="M565" s="20">
        <f t="shared" si="141"/>
        <v>-0.98146897624997653</v>
      </c>
      <c r="N565" s="1">
        <f t="shared" si="146"/>
        <v>167.44233878285371</v>
      </c>
      <c r="P565" s="20">
        <f t="shared" si="147"/>
        <v>-7.9640630630070053</v>
      </c>
      <c r="Q565" s="20">
        <f t="shared" si="142"/>
        <v>-0.35642363567600643</v>
      </c>
      <c r="R565" s="20">
        <f t="shared" si="143"/>
        <v>-7.7601488281299034</v>
      </c>
      <c r="S565" s="20">
        <f t="shared" si="148"/>
        <v>91.51349341247834</v>
      </c>
      <c r="T565" s="1">
        <f t="shared" si="149"/>
        <v>0</v>
      </c>
    </row>
    <row r="566" spans="1:20" x14ac:dyDescent="0.25">
      <c r="A566" s="20">
        <f t="shared" si="144"/>
        <v>5.6099999999999248</v>
      </c>
      <c r="C566" s="20">
        <f t="shared" si="150"/>
        <v>19.31321879012345</v>
      </c>
      <c r="D566" s="20">
        <f t="shared" si="137"/>
        <v>8.0120972364324305E-2</v>
      </c>
      <c r="E566" s="20">
        <f t="shared" si="138"/>
        <v>1.7444148130704182</v>
      </c>
      <c r="F566" s="20">
        <f t="shared" si="139"/>
        <v>6.7301616786032414E-2</v>
      </c>
      <c r="G566" s="20">
        <f t="shared" si="140"/>
        <v>1.4653084429791512</v>
      </c>
      <c r="I566" s="20">
        <f t="shared" si="151"/>
        <v>-0.42946161961890217</v>
      </c>
      <c r="K566" s="20">
        <f t="shared" si="145"/>
        <v>17.559386415240443</v>
      </c>
      <c r="L566" s="20">
        <f t="shared" si="152"/>
        <v>-4.4822051526700026E-2</v>
      </c>
      <c r="M566" s="20">
        <f t="shared" si="141"/>
        <v>-0.97587745540387605</v>
      </c>
      <c r="N566" s="1">
        <f t="shared" si="146"/>
        <v>167.61798172045491</v>
      </c>
      <c r="P566" s="20">
        <f t="shared" si="147"/>
        <v>-8.0416645512883047</v>
      </c>
      <c r="Q566" s="20">
        <f t="shared" si="142"/>
        <v>-0.35602245901190183</v>
      </c>
      <c r="R566" s="20">
        <f t="shared" si="143"/>
        <v>-7.7514143046353547</v>
      </c>
      <c r="S566" s="20">
        <f t="shared" si="148"/>
        <v>91.433464774406872</v>
      </c>
      <c r="T566" s="1">
        <f t="shared" si="149"/>
        <v>0</v>
      </c>
    </row>
    <row r="567" spans="1:20" x14ac:dyDescent="0.25">
      <c r="A567" s="20">
        <f t="shared" si="144"/>
        <v>5.6199999999999246</v>
      </c>
      <c r="C567" s="20">
        <f t="shared" si="150"/>
        <v>19.336765318875909</v>
      </c>
      <c r="D567" s="20">
        <f t="shared" si="137"/>
        <v>8.0316457212945724E-2</v>
      </c>
      <c r="E567" s="20">
        <f t="shared" si="138"/>
        <v>1.7486709604386181</v>
      </c>
      <c r="F567" s="20">
        <f t="shared" si="139"/>
        <v>6.7465824058874413E-2</v>
      </c>
      <c r="G567" s="20">
        <f t="shared" si="140"/>
        <v>1.4688836067684392</v>
      </c>
      <c r="I567" s="20">
        <f t="shared" si="151"/>
        <v>-0.43331638245729842</v>
      </c>
      <c r="K567" s="20">
        <f t="shared" si="145"/>
        <v>17.549627640686403</v>
      </c>
      <c r="L567" s="20">
        <f t="shared" si="152"/>
        <v>-4.4565718309181573E-2</v>
      </c>
      <c r="M567" s="20">
        <f t="shared" si="141"/>
        <v>-0.97029650139737811</v>
      </c>
      <c r="N567" s="1">
        <f t="shared" si="146"/>
        <v>167.79352679073455</v>
      </c>
      <c r="P567" s="20">
        <f t="shared" si="147"/>
        <v>-8.1191786943346589</v>
      </c>
      <c r="Q567" s="20">
        <f t="shared" si="142"/>
        <v>-0.35561927182442121</v>
      </c>
      <c r="R567" s="20">
        <f t="shared" si="143"/>
        <v>-7.7426360074988292</v>
      </c>
      <c r="S567" s="20">
        <f t="shared" si="148"/>
        <v>91.352660558178755</v>
      </c>
      <c r="T567" s="1">
        <f t="shared" si="149"/>
        <v>0</v>
      </c>
    </row>
    <row r="568" spans="1:20" x14ac:dyDescent="0.25">
      <c r="A568" s="20">
        <f t="shared" si="144"/>
        <v>5.6299999999999244</v>
      </c>
      <c r="C568" s="20">
        <f t="shared" si="150"/>
        <v>19.36061187169032</v>
      </c>
      <c r="D568" s="20">
        <f t="shared" si="137"/>
        <v>8.0514675641472161E-2</v>
      </c>
      <c r="E568" s="20">
        <f t="shared" si="138"/>
        <v>1.7529866240250851</v>
      </c>
      <c r="F568" s="20">
        <f t="shared" si="139"/>
        <v>6.763232753883662E-2</v>
      </c>
      <c r="G568" s="20">
        <f t="shared" si="140"/>
        <v>1.4725087641810717</v>
      </c>
      <c r="I568" s="20">
        <f t="shared" si="151"/>
        <v>-0.43715638366801396</v>
      </c>
      <c r="K568" s="20">
        <f t="shared" si="145"/>
        <v>17.539924675672427</v>
      </c>
      <c r="L568" s="20">
        <f t="shared" si="152"/>
        <v>-4.4309853117075304E-2</v>
      </c>
      <c r="M568" s="20">
        <f t="shared" si="141"/>
        <v>-0.9647257373628414</v>
      </c>
      <c r="N568" s="1">
        <f t="shared" si="146"/>
        <v>167.96897455231635</v>
      </c>
      <c r="P568" s="20">
        <f t="shared" si="147"/>
        <v>-8.1966050544096465</v>
      </c>
      <c r="Q568" s="20">
        <f t="shared" si="142"/>
        <v>-0.35521407580687248</v>
      </c>
      <c r="R568" s="20">
        <f t="shared" si="143"/>
        <v>-7.7338139735874698</v>
      </c>
      <c r="S568" s="20">
        <f t="shared" si="148"/>
        <v>91.271081639435025</v>
      </c>
      <c r="T568" s="1">
        <f t="shared" si="149"/>
        <v>0</v>
      </c>
    </row>
    <row r="569" spans="1:20" x14ac:dyDescent="0.25">
      <c r="A569" s="20">
        <f t="shared" si="144"/>
        <v>5.6399999999999242</v>
      </c>
      <c r="C569" s="20">
        <f t="shared" si="150"/>
        <v>19.384755926822081</v>
      </c>
      <c r="D569" s="20">
        <f t="shared" si="137"/>
        <v>8.0715615870291815E-2</v>
      </c>
      <c r="E569" s="20">
        <f t="shared" si="138"/>
        <v>1.7573615473610238</v>
      </c>
      <c r="F569" s="20">
        <f t="shared" si="139"/>
        <v>6.780111733104513E-2</v>
      </c>
      <c r="G569" s="20">
        <f t="shared" si="140"/>
        <v>1.47618369978326</v>
      </c>
      <c r="I569" s="20">
        <f t="shared" si="151"/>
        <v>-0.44098153845263055</v>
      </c>
      <c r="K569" s="20">
        <f t="shared" si="145"/>
        <v>17.530277418298798</v>
      </c>
      <c r="L569" s="20">
        <f t="shared" si="152"/>
        <v>-4.4054438865374732E-2</v>
      </c>
      <c r="M569" s="20">
        <f t="shared" si="141"/>
        <v>-0.95916479132102617</v>
      </c>
      <c r="N569" s="1">
        <f t="shared" si="146"/>
        <v>168.14432556278621</v>
      </c>
      <c r="P569" s="20">
        <f t="shared" si="147"/>
        <v>-8.2739431941455219</v>
      </c>
      <c r="Q569" s="20">
        <f t="shared" si="142"/>
        <v>-0.3548068728299546</v>
      </c>
      <c r="R569" s="20">
        <f t="shared" si="143"/>
        <v>-7.7249482436306254</v>
      </c>
      <c r="S569" s="20">
        <f t="shared" si="148"/>
        <v>91.188728898192252</v>
      </c>
      <c r="T569" s="1">
        <f t="shared" si="149"/>
        <v>0</v>
      </c>
    </row>
    <row r="570" spans="1:20" x14ac:dyDescent="0.25">
      <c r="A570" s="20">
        <f t="shared" si="144"/>
        <v>5.649999999999924</v>
      </c>
      <c r="C570" s="20">
        <f t="shared" si="150"/>
        <v>19.409194959760331</v>
      </c>
      <c r="D570" s="20">
        <f t="shared" si="137"/>
        <v>8.0919266106818238E-2</v>
      </c>
      <c r="E570" s="20">
        <f t="shared" si="138"/>
        <v>1.76179547369515</v>
      </c>
      <c r="F570" s="20">
        <f t="shared" si="139"/>
        <v>6.7972183529727323E-2</v>
      </c>
      <c r="G570" s="20">
        <f t="shared" si="140"/>
        <v>1.4799081979039261</v>
      </c>
      <c r="I570" s="20">
        <f t="shared" si="151"/>
        <v>-0.44479176470146065</v>
      </c>
      <c r="K570" s="20">
        <f t="shared" si="145"/>
        <v>17.520685770385587</v>
      </c>
      <c r="L570" s="20">
        <f t="shared" si="152"/>
        <v>-4.3799458693960042E-2</v>
      </c>
      <c r="M570" s="20">
        <f t="shared" si="141"/>
        <v>-0.95361329618898416</v>
      </c>
      <c r="N570" s="1">
        <f t="shared" si="146"/>
        <v>168.31958037872963</v>
      </c>
      <c r="P570" s="20">
        <f t="shared" si="147"/>
        <v>-8.3511926765818281</v>
      </c>
      <c r="Q570" s="20">
        <f t="shared" si="142"/>
        <v>-0.35439766494006875</v>
      </c>
      <c r="R570" s="20">
        <f t="shared" si="143"/>
        <v>-7.716038862183078</v>
      </c>
      <c r="S570" s="20">
        <f t="shared" si="148"/>
        <v>91.10560321883861</v>
      </c>
      <c r="T570" s="1">
        <f t="shared" si="149"/>
        <v>0</v>
      </c>
    </row>
    <row r="571" spans="1:20" x14ac:dyDescent="0.25">
      <c r="A571" s="20">
        <f t="shared" si="144"/>
        <v>5.6599999999999238</v>
      </c>
      <c r="C571" s="20">
        <f t="shared" si="150"/>
        <v>19.433926443618436</v>
      </c>
      <c r="D571" s="20">
        <f t="shared" si="137"/>
        <v>8.1125614545393979E-2</v>
      </c>
      <c r="E571" s="20">
        <f t="shared" si="138"/>
        <v>1.7662881459915956</v>
      </c>
      <c r="F571" s="20">
        <f t="shared" si="139"/>
        <v>6.8145516218130933E-2</v>
      </c>
      <c r="G571" s="20">
        <f t="shared" si="140"/>
        <v>1.48368204263294</v>
      </c>
      <c r="I571" s="20">
        <f t="shared" si="151"/>
        <v>-0.44858698297570437</v>
      </c>
      <c r="K571" s="20">
        <f t="shared" si="145"/>
        <v>17.511149637423696</v>
      </c>
      <c r="L571" s="20">
        <f t="shared" si="152"/>
        <v>-4.3544895967910044E-2</v>
      </c>
      <c r="M571" s="20">
        <f t="shared" si="141"/>
        <v>-0.9480708897868505</v>
      </c>
      <c r="N571" s="1">
        <f t="shared" si="146"/>
        <v>168.49473955576869</v>
      </c>
      <c r="P571" s="20">
        <f t="shared" si="147"/>
        <v>-8.4283530652036589</v>
      </c>
      <c r="Q571" s="20">
        <f t="shared" si="142"/>
        <v>-0.35398645435760789</v>
      </c>
      <c r="R571" s="20">
        <f t="shared" si="143"/>
        <v>-7.7070858775878053</v>
      </c>
      <c r="S571" s="20">
        <f t="shared" si="148"/>
        <v>91.021705490129676</v>
      </c>
      <c r="T571" s="1">
        <f t="shared" si="149"/>
        <v>0</v>
      </c>
    </row>
    <row r="572" spans="1:20" x14ac:dyDescent="0.25">
      <c r="A572" s="20">
        <f t="shared" si="144"/>
        <v>5.6699999999999235</v>
      </c>
      <c r="C572" s="20">
        <f t="shared" si="150"/>
        <v>19.458947849519763</v>
      </c>
      <c r="D572" s="20">
        <f t="shared" si="137"/>
        <v>8.1334649367202541E-2</v>
      </c>
      <c r="E572" s="20">
        <f t="shared" si="138"/>
        <v>1.7708393069279893</v>
      </c>
      <c r="F572" s="20">
        <f t="shared" si="139"/>
        <v>6.8321105468450133E-2</v>
      </c>
      <c r="G572" s="20">
        <f t="shared" si="140"/>
        <v>1.4875050178195108</v>
      </c>
      <c r="I572" s="20">
        <f t="shared" si="151"/>
        <v>-0.45236711648883809</v>
      </c>
      <c r="K572" s="20">
        <f t="shared" si="145"/>
        <v>17.501668928525827</v>
      </c>
      <c r="L572" s="20">
        <f t="shared" si="152"/>
        <v>-4.3290734277763969E-2</v>
      </c>
      <c r="M572" s="20">
        <f t="shared" si="141"/>
        <v>-0.94253721484354391</v>
      </c>
      <c r="N572" s="1">
        <f t="shared" si="146"/>
        <v>168.66980364859842</v>
      </c>
      <c r="P572" s="20">
        <f t="shared" si="147"/>
        <v>-8.5054239239795368</v>
      </c>
      <c r="Q572" s="20">
        <f t="shared" si="142"/>
        <v>-0.35357324347522834</v>
      </c>
      <c r="R572" s="20">
        <f t="shared" si="143"/>
        <v>-7.6980893419383483</v>
      </c>
      <c r="S572" s="20">
        <f t="shared" si="148"/>
        <v>90.937036605183764</v>
      </c>
      <c r="T572" s="1">
        <f t="shared" si="149"/>
        <v>0</v>
      </c>
    </row>
    <row r="573" spans="1:20" x14ac:dyDescent="0.25">
      <c r="A573" s="20">
        <f t="shared" si="144"/>
        <v>5.6799999999999233</v>
      </c>
      <c r="C573" s="20">
        <f t="shared" si="150"/>
        <v>19.484256646978828</v>
      </c>
      <c r="D573" s="20">
        <f t="shared" si="137"/>
        <v>8.1546358740189451E-2</v>
      </c>
      <c r="E573" s="20">
        <f t="shared" si="138"/>
        <v>1.7754486988937395</v>
      </c>
      <c r="F573" s="20">
        <f t="shared" si="139"/>
        <v>6.8498941341759143E-2</v>
      </c>
      <c r="G573" s="20">
        <f t="shared" si="140"/>
        <v>1.4913769070707412</v>
      </c>
      <c r="I573" s="20">
        <f t="shared" si="151"/>
        <v>-0.45613209108726066</v>
      </c>
      <c r="K573" s="20">
        <f t="shared" si="145"/>
        <v>17.492243556377392</v>
      </c>
      <c r="L573" s="20">
        <f t="shared" si="152"/>
        <v>-4.3036957439733819E-2</v>
      </c>
      <c r="M573" s="20">
        <f t="shared" si="141"/>
        <v>-0.93701191900138947</v>
      </c>
      <c r="N573" s="1">
        <f t="shared" si="146"/>
        <v>168.84477321102293</v>
      </c>
      <c r="P573" s="20">
        <f t="shared" si="147"/>
        <v>-8.5824048173989205</v>
      </c>
      <c r="Q573" s="20">
        <f t="shared" si="142"/>
        <v>-0.35315803485610187</v>
      </c>
      <c r="R573" s="20">
        <f t="shared" si="143"/>
        <v>-7.6890493110407547</v>
      </c>
      <c r="S573" s="20">
        <f t="shared" si="148"/>
        <v>90.851597461476871</v>
      </c>
      <c r="T573" s="1">
        <f t="shared" si="149"/>
        <v>0</v>
      </c>
    </row>
    <row r="574" spans="1:20" x14ac:dyDescent="0.25">
      <c r="A574" s="20">
        <f t="shared" si="144"/>
        <v>5.6899999999999231</v>
      </c>
      <c r="C574" s="20">
        <f t="shared" si="150"/>
        <v>19.509850304277606</v>
      </c>
      <c r="D574" s="20">
        <f t="shared" si="137"/>
        <v>8.1760730818991947E-2</v>
      </c>
      <c r="E574" s="20">
        <f t="shared" si="138"/>
        <v>1.7801160639885032</v>
      </c>
      <c r="F574" s="20">
        <f t="shared" si="139"/>
        <v>6.8679013887953236E-2</v>
      </c>
      <c r="G574" s="20">
        <f t="shared" si="140"/>
        <v>1.4952974937503427</v>
      </c>
      <c r="I574" s="20">
        <f t="shared" si="151"/>
        <v>-0.45988183523022652</v>
      </c>
      <c r="K574" s="20">
        <f t="shared" si="145"/>
        <v>17.482873437187379</v>
      </c>
      <c r="L574" s="20">
        <f t="shared" si="152"/>
        <v>-4.2783549495867337E-2</v>
      </c>
      <c r="M574" s="20">
        <f t="shared" si="141"/>
        <v>-0.93149465481966776</v>
      </c>
      <c r="N574" s="1">
        <f t="shared" si="146"/>
        <v>169.01964879599078</v>
      </c>
      <c r="P574" s="20">
        <f t="shared" si="147"/>
        <v>-8.6592953105093287</v>
      </c>
      <c r="Q574" s="20">
        <f t="shared" si="142"/>
        <v>-0.35274083123215177</v>
      </c>
      <c r="R574" s="20">
        <f t="shared" si="143"/>
        <v>-7.6799658443751753</v>
      </c>
      <c r="S574" s="20">
        <f t="shared" si="148"/>
        <v>90.765388960837328</v>
      </c>
      <c r="T574" s="1">
        <f t="shared" si="149"/>
        <v>0</v>
      </c>
    </row>
    <row r="575" spans="1:20" x14ac:dyDescent="0.25">
      <c r="A575" s="20">
        <f t="shared" si="144"/>
        <v>5.6999999999999229</v>
      </c>
      <c r="C575" s="20">
        <f t="shared" si="150"/>
        <v>19.535726288836972</v>
      </c>
      <c r="D575" s="20">
        <f t="shared" si="137"/>
        <v>8.197775374487723E-2</v>
      </c>
      <c r="E575" s="20">
        <f t="shared" si="138"/>
        <v>1.7848411440208412</v>
      </c>
      <c r="F575" s="20">
        <f t="shared" si="139"/>
        <v>6.8861313145696879E-2</v>
      </c>
      <c r="G575" s="20">
        <f t="shared" si="140"/>
        <v>1.4992665609775067</v>
      </c>
      <c r="I575" s="20">
        <f t="shared" si="151"/>
        <v>-0.46361627996909183</v>
      </c>
      <c r="K575" s="20">
        <f t="shared" si="145"/>
        <v>17.473558490639181</v>
      </c>
      <c r="L575" s="20">
        <f t="shared" si="152"/>
        <v>-4.2530494714162301E-2</v>
      </c>
      <c r="M575" s="20">
        <f t="shared" si="141"/>
        <v>-0.9259850797771022</v>
      </c>
      <c r="N575" s="1">
        <f t="shared" si="146"/>
        <v>169.19443095562991</v>
      </c>
      <c r="P575" s="20">
        <f t="shared" si="147"/>
        <v>-8.7360949689530809</v>
      </c>
      <c r="Q575" s="20">
        <f t="shared" si="142"/>
        <v>-0.35232163550227219</v>
      </c>
      <c r="R575" s="20">
        <f t="shared" si="143"/>
        <v>-7.6708390050570916</v>
      </c>
      <c r="S575" s="20">
        <f t="shared" si="148"/>
        <v>90.678412009440009</v>
      </c>
      <c r="T575" s="1">
        <f t="shared" si="149"/>
        <v>0</v>
      </c>
    </row>
    <row r="576" spans="1:20" x14ac:dyDescent="0.25">
      <c r="A576" s="20">
        <f t="shared" si="144"/>
        <v>5.7099999999999227</v>
      </c>
      <c r="C576" s="20">
        <f t="shared" si="150"/>
        <v>19.561882067583184</v>
      </c>
      <c r="D576" s="20">
        <f t="shared" si="137"/>
        <v>8.2197415645689581E-2</v>
      </c>
      <c r="E576" s="20">
        <f t="shared" si="138"/>
        <v>1.7896236805070669</v>
      </c>
      <c r="F576" s="20">
        <f t="shared" si="139"/>
        <v>6.904582914237925E-2</v>
      </c>
      <c r="G576" s="20">
        <f t="shared" si="140"/>
        <v>1.5032838916259363</v>
      </c>
      <c r="I576" s="20">
        <f t="shared" si="151"/>
        <v>-0.46733535892590083</v>
      </c>
      <c r="K576" s="20">
        <f t="shared" si="145"/>
        <v>17.46429863984141</v>
      </c>
      <c r="L576" s="20">
        <f t="shared" si="152"/>
        <v>-4.2277777588632652E-2</v>
      </c>
      <c r="M576" s="20">
        <f t="shared" si="141"/>
        <v>-0.92048285627329962</v>
      </c>
      <c r="N576" s="1">
        <f t="shared" si="146"/>
        <v>169.3691202412823</v>
      </c>
      <c r="P576" s="20">
        <f t="shared" si="147"/>
        <v>-8.8128033590036523</v>
      </c>
      <c r="Q576" s="20">
        <f t="shared" si="142"/>
        <v>-0.35190045073053283</v>
      </c>
      <c r="R576" s="20">
        <f t="shared" si="143"/>
        <v>-7.6616688597982332</v>
      </c>
      <c r="S576" s="20">
        <f t="shared" si="148"/>
        <v>90.590667517800227</v>
      </c>
      <c r="T576" s="1">
        <f t="shared" si="149"/>
        <v>0</v>
      </c>
    </row>
    <row r="577" spans="1:20" x14ac:dyDescent="0.25">
      <c r="A577" s="20">
        <f t="shared" si="144"/>
        <v>5.7199999999999225</v>
      </c>
      <c r="C577" s="20">
        <f t="shared" si="150"/>
        <v>19.588315107309281</v>
      </c>
      <c r="D577" s="20">
        <f t="shared" si="137"/>
        <v>8.2419704635805516E-2</v>
      </c>
      <c r="E577" s="20">
        <f t="shared" si="138"/>
        <v>1.7944634146702703</v>
      </c>
      <c r="F577" s="20">
        <f t="shared" si="139"/>
        <v>6.9232551894076635E-2</v>
      </c>
      <c r="G577" s="20">
        <f t="shared" si="140"/>
        <v>1.5073492683230272</v>
      </c>
      <c r="I577" s="20">
        <f t="shared" si="151"/>
        <v>-0.47103900827134132</v>
      </c>
      <c r="K577" s="20">
        <f t="shared" si="145"/>
        <v>17.455093811278676</v>
      </c>
      <c r="L577" s="20">
        <f t="shared" si="152"/>
        <v>-4.2025382839326726E-2</v>
      </c>
      <c r="M577" s="20">
        <f t="shared" si="141"/>
        <v>-0.91498765162914708</v>
      </c>
      <c r="N577" s="1">
        <f t="shared" si="146"/>
        <v>169.54371720353791</v>
      </c>
      <c r="P577" s="20">
        <f t="shared" si="147"/>
        <v>-8.8894200476016341</v>
      </c>
      <c r="Q577" s="20">
        <f t="shared" si="142"/>
        <v>-0.3514772801443698</v>
      </c>
      <c r="R577" s="20">
        <f t="shared" si="143"/>
        <v>-7.6524554788671848</v>
      </c>
      <c r="S577" s="20">
        <f t="shared" si="148"/>
        <v>90.502156400767205</v>
      </c>
      <c r="T577" s="1">
        <f t="shared" si="149"/>
        <v>0</v>
      </c>
    </row>
    <row r="578" spans="1:20" x14ac:dyDescent="0.25">
      <c r="A578" s="20">
        <f t="shared" si="144"/>
        <v>5.7299999999999223</v>
      </c>
      <c r="C578" s="20">
        <f t="shared" si="150"/>
        <v>19.615022875031379</v>
      </c>
      <c r="D578" s="20">
        <f t="shared" si="137"/>
        <v>8.2644608816097545E-2</v>
      </c>
      <c r="E578" s="20">
        <f t="shared" si="138"/>
        <v>1.7993600874395286</v>
      </c>
      <c r="F578" s="20">
        <f t="shared" si="139"/>
        <v>6.9421471405521934E-2</v>
      </c>
      <c r="G578" s="20">
        <f t="shared" si="140"/>
        <v>1.5114624734492039</v>
      </c>
      <c r="I578" s="20">
        <f t="shared" si="151"/>
        <v>-0.47472716670209336</v>
      </c>
      <c r="K578" s="20">
        <f t="shared" si="145"/>
        <v>17.445943934762383</v>
      </c>
      <c r="L578" s="20">
        <f t="shared" si="152"/>
        <v>-4.1773295412298302E-2</v>
      </c>
      <c r="M578" s="20">
        <f t="shared" si="141"/>
        <v>-0.90949913808618121</v>
      </c>
      <c r="N578" s="1">
        <f t="shared" si="146"/>
        <v>169.7182223922681</v>
      </c>
      <c r="P578" s="20">
        <f t="shared" si="147"/>
        <v>-8.9659446023903051</v>
      </c>
      <c r="Q578" s="20">
        <f t="shared" si="142"/>
        <v>-0.35105212713276363</v>
      </c>
      <c r="R578" s="20">
        <f t="shared" si="143"/>
        <v>-7.6431989360497203</v>
      </c>
      <c r="S578" s="20">
        <f t="shared" si="148"/>
        <v>90.412879577517245</v>
      </c>
      <c r="T578" s="1">
        <f t="shared" si="149"/>
        <v>0</v>
      </c>
    </row>
    <row r="579" spans="1:20" x14ac:dyDescent="0.25">
      <c r="A579" s="20">
        <f t="shared" si="144"/>
        <v>5.7399999999999221</v>
      </c>
      <c r="C579" s="20">
        <f t="shared" si="150"/>
        <v>19.642002838339781</v>
      </c>
      <c r="D579" s="20">
        <f t="shared" si="137"/>
        <v>8.287211627390631E-2</v>
      </c>
      <c r="E579" s="20">
        <f t="shared" si="138"/>
        <v>1.8043134394492992</v>
      </c>
      <c r="F579" s="20">
        <f t="shared" si="139"/>
        <v>6.9612577670081305E-2</v>
      </c>
      <c r="G579" s="20">
        <f t="shared" si="140"/>
        <v>1.5156232891374115</v>
      </c>
      <c r="I579" s="20">
        <f t="shared" si="151"/>
        <v>-0.47839977541760048</v>
      </c>
      <c r="K579" s="20">
        <f t="shared" si="145"/>
        <v>17.43684894338152</v>
      </c>
      <c r="L579" s="20">
        <f t="shared" si="152"/>
        <v>-4.152150047953107E-2</v>
      </c>
      <c r="M579" s="20">
        <f t="shared" si="141"/>
        <v>-0.90401699280494385</v>
      </c>
      <c r="N579" s="1">
        <f t="shared" si="146"/>
        <v>169.89263635665884</v>
      </c>
      <c r="P579" s="20">
        <f t="shared" si="147"/>
        <v>-9.0423765917508021</v>
      </c>
      <c r="Q579" s="20">
        <f t="shared" si="142"/>
        <v>-0.35062499524440527</v>
      </c>
      <c r="R579" s="20">
        <f t="shared" si="143"/>
        <v>-7.6338993086088678</v>
      </c>
      <c r="S579" s="20">
        <f t="shared" si="148"/>
        <v>90.322837971546548</v>
      </c>
      <c r="T579" s="1">
        <f t="shared" si="149"/>
        <v>0</v>
      </c>
    </row>
    <row r="580" spans="1:20" x14ac:dyDescent="0.25">
      <c r="A580" s="20">
        <f t="shared" si="144"/>
        <v>5.7499999999999218</v>
      </c>
      <c r="C580" s="20">
        <f t="shared" si="150"/>
        <v>19.669252465744826</v>
      </c>
      <c r="D580" s="20">
        <f t="shared" si="137"/>
        <v>8.3102215083020819E-2</v>
      </c>
      <c r="E580" s="20">
        <f t="shared" si="138"/>
        <v>1.8093232110389903</v>
      </c>
      <c r="F580" s="20">
        <f t="shared" si="139"/>
        <v>6.9805860669737485E-2</v>
      </c>
      <c r="G580" s="20">
        <f t="shared" si="140"/>
        <v>1.5198314972727518</v>
      </c>
      <c r="I580" s="20">
        <f t="shared" si="151"/>
        <v>-0.48205677809628916</v>
      </c>
      <c r="K580" s="20">
        <f t="shared" si="145"/>
        <v>17.427808773453471</v>
      </c>
      <c r="L580" s="20">
        <f t="shared" si="152"/>
        <v>-4.1269983438817014E-2</v>
      </c>
      <c r="M580" s="20">
        <f t="shared" si="141"/>
        <v>-0.89854089786233426</v>
      </c>
      <c r="N580" s="1">
        <f t="shared" si="146"/>
        <v>170.06695964524303</v>
      </c>
      <c r="P580" s="20">
        <f t="shared" si="147"/>
        <v>-9.1187155848368899</v>
      </c>
      <c r="Q580" s="20">
        <f t="shared" si="142"/>
        <v>-0.35019588818585118</v>
      </c>
      <c r="R580" s="20">
        <f t="shared" si="143"/>
        <v>-7.6245566772447457</v>
      </c>
      <c r="S580" s="20">
        <f t="shared" si="148"/>
        <v>90.232032510663615</v>
      </c>
      <c r="T580" s="1">
        <f t="shared" si="149"/>
        <v>0</v>
      </c>
    </row>
    <row r="581" spans="1:20" x14ac:dyDescent="0.25">
      <c r="A581" s="20">
        <f t="shared" si="144"/>
        <v>5.7599999999999216</v>
      </c>
      <c r="C581" s="20">
        <f t="shared" si="150"/>
        <v>19.696769227017402</v>
      </c>
      <c r="D581" s="20">
        <f t="shared" ref="D581:D644" si="153">0.5*$W$5*$W$10*$W$9*C581^2</f>
        <v>8.3334893303666724E-2</v>
      </c>
      <c r="E581" s="20">
        <f t="shared" ref="E581:E644" si="154">D581/$W$4</f>
        <v>1.8143891422527048</v>
      </c>
      <c r="F581" s="20">
        <f t="shared" ref="F581:F644" si="155">0.5*$W$6*$W$10*$W$9*C581^2</f>
        <v>7.0001310375080047E-2</v>
      </c>
      <c r="G581" s="20">
        <f t="shared" ref="G581:G644" si="156">F581/$W$4</f>
        <v>1.524086879492272</v>
      </c>
      <c r="I581" s="20">
        <f t="shared" si="151"/>
        <v>-0.48569812087126202</v>
      </c>
      <c r="K581" s="20">
        <f t="shared" si="145"/>
        <v>17.418823364474846</v>
      </c>
      <c r="L581" s="20">
        <f t="shared" si="152"/>
        <v>-4.1018729913589083E-2</v>
      </c>
      <c r="M581" s="20">
        <f t="shared" ref="M581:M644" si="157">L581/$W$4</f>
        <v>-0.89307054024796617</v>
      </c>
      <c r="N581" s="1">
        <f t="shared" si="146"/>
        <v>170.24119280593268</v>
      </c>
      <c r="P581" s="20">
        <f t="shared" si="147"/>
        <v>-9.1949611516093377</v>
      </c>
      <c r="Q581" s="20">
        <f t="shared" ref="Q581:Q644" si="158">-(D581*SIN(I581))+(F581*COS(I581))-($W$4*9.81)</f>
        <v>-0.34976480981966929</v>
      </c>
      <c r="R581" s="20">
        <f t="shared" ref="R581:R644" si="159">Q581/$W$4</f>
        <v>-7.6151711260541974</v>
      </c>
      <c r="S581" s="20">
        <f t="shared" si="148"/>
        <v>90.140464126981385</v>
      </c>
      <c r="T581" s="1">
        <f t="shared" si="149"/>
        <v>0</v>
      </c>
    </row>
    <row r="582" spans="1:20" x14ac:dyDescent="0.25">
      <c r="A582" s="20">
        <f t="shared" ref="A582:A645" si="160">A581+$W$18</f>
        <v>5.7699999999999214</v>
      </c>
      <c r="C582" s="20">
        <f t="shared" si="150"/>
        <v>19.724550593524132</v>
      </c>
      <c r="D582" s="20">
        <f t="shared" si="153"/>
        <v>8.3570138982502803E-2</v>
      </c>
      <c r="E582" s="20">
        <f t="shared" si="154"/>
        <v>1.8195109728391641</v>
      </c>
      <c r="F582" s="20">
        <f t="shared" si="155"/>
        <v>7.0198916745302348E-2</v>
      </c>
      <c r="G582" s="20">
        <f t="shared" si="156"/>
        <v>1.5283892171848976</v>
      </c>
      <c r="I582" s="20">
        <f t="shared" si="151"/>
        <v>-0.48932375230549274</v>
      </c>
      <c r="K582" s="20">
        <f t="shared" ref="K582:K645" si="161">K581+(M581*$W$18)</f>
        <v>17.409892659072366</v>
      </c>
      <c r="L582" s="20">
        <f t="shared" si="152"/>
        <v>-4.0767725752709157E-2</v>
      </c>
      <c r="M582" s="20">
        <f t="shared" si="157"/>
        <v>-0.88760561185955056</v>
      </c>
      <c r="N582" s="1">
        <f t="shared" ref="N582:N645" si="162">N581+(K581*$W$18)+(0.5*M581*$W$18^2)</f>
        <v>170.41533638605043</v>
      </c>
      <c r="P582" s="20">
        <f t="shared" ref="P582:P645" si="163">P581+(R581*$W$18)</f>
        <v>-9.2711128628698791</v>
      </c>
      <c r="Q582" s="20">
        <f t="shared" si="158"/>
        <v>-0.34933176416257494</v>
      </c>
      <c r="R582" s="20">
        <f t="shared" si="159"/>
        <v>-7.6057427424902011</v>
      </c>
      <c r="S582" s="20">
        <f t="shared" ref="S582:S645" si="164">S581+(P581*$W$18)+(0.5*R581*$W$18^2)</f>
        <v>90.048133756908982</v>
      </c>
      <c r="T582" s="1">
        <f t="shared" si="149"/>
        <v>0</v>
      </c>
    </row>
    <row r="583" spans="1:20" x14ac:dyDescent="0.25">
      <c r="A583" s="20">
        <f t="shared" si="160"/>
        <v>5.7799999999999212</v>
      </c>
      <c r="C583" s="20">
        <f t="shared" si="150"/>
        <v>19.752594038557117</v>
      </c>
      <c r="D583" s="20">
        <f t="shared" si="153"/>
        <v>8.3807940152625299E-2</v>
      </c>
      <c r="E583" s="20">
        <f t="shared" si="154"/>
        <v>1.8246884422518028</v>
      </c>
      <c r="F583" s="20">
        <f t="shared" si="155"/>
        <v>7.0398669728205257E-2</v>
      </c>
      <c r="G583" s="20">
        <f t="shared" si="156"/>
        <v>1.5327382914915144</v>
      </c>
      <c r="I583" s="20">
        <f t="shared" si="151"/>
        <v>-0.49293362336654678</v>
      </c>
      <c r="K583" s="20">
        <f t="shared" si="161"/>
        <v>17.401016602953771</v>
      </c>
      <c r="L583" s="20">
        <f t="shared" si="152"/>
        <v>-4.0516957030211673E-2</v>
      </c>
      <c r="M583" s="20">
        <f t="shared" si="157"/>
        <v>-0.88214580949731491</v>
      </c>
      <c r="N583" s="1">
        <f t="shared" si="162"/>
        <v>170.58939093236054</v>
      </c>
      <c r="P583" s="20">
        <f t="shared" si="163"/>
        <v>-9.3471702902947804</v>
      </c>
      <c r="Q583" s="20">
        <f t="shared" si="158"/>
        <v>-0.34889675538355991</v>
      </c>
      <c r="R583" s="20">
        <f t="shared" si="159"/>
        <v>-7.5962716173211389</v>
      </c>
      <c r="S583" s="20">
        <f t="shared" si="164"/>
        <v>89.955042341143169</v>
      </c>
      <c r="T583" s="1">
        <f t="shared" ref="T583:T646" si="165">IF(AND(S582&gt;0,S583&lt;0),(-1*S582*(N583-N582)/(S583-S582)+N582),0)</f>
        <v>0</v>
      </c>
    </row>
    <row r="584" spans="1:20" x14ac:dyDescent="0.25">
      <c r="A584" s="20">
        <f t="shared" si="160"/>
        <v>5.789999999999921</v>
      </c>
      <c r="C584" s="20">
        <f t="shared" si="150"/>
        <v>19.780897037658235</v>
      </c>
      <c r="D584" s="20">
        <f t="shared" si="153"/>
        <v>8.404828483358015E-2</v>
      </c>
      <c r="E584" s="20">
        <f t="shared" si="154"/>
        <v>1.8299212896490344</v>
      </c>
      <c r="F584" s="20">
        <f t="shared" si="155"/>
        <v>7.0600559260207321E-2</v>
      </c>
      <c r="G584" s="20">
        <f t="shared" si="156"/>
        <v>1.5371338833051889</v>
      </c>
      <c r="I584" s="20">
        <f t="shared" si="151"/>
        <v>-0.49652768740085512</v>
      </c>
      <c r="K584" s="20">
        <f t="shared" si="161"/>
        <v>17.392195144858796</v>
      </c>
      <c r="L584" s="20">
        <f t="shared" si="152"/>
        <v>-4.0266410045003559E-2</v>
      </c>
      <c r="M584" s="20">
        <f t="shared" si="157"/>
        <v>-0.87669083485746924</v>
      </c>
      <c r="N584" s="1">
        <f t="shared" si="162"/>
        <v>170.76335699109961</v>
      </c>
      <c r="P584" s="20">
        <f t="shared" si="163"/>
        <v>-9.4231330064679923</v>
      </c>
      <c r="Q584" s="20">
        <f t="shared" si="158"/>
        <v>-0.3484597878020137</v>
      </c>
      <c r="R584" s="20">
        <f t="shared" si="159"/>
        <v>-7.5867578445898918</v>
      </c>
      <c r="S584" s="20">
        <f t="shared" si="164"/>
        <v>89.86119082465936</v>
      </c>
      <c r="T584" s="1">
        <f t="shared" si="165"/>
        <v>0</v>
      </c>
    </row>
    <row r="585" spans="1:20" x14ac:dyDescent="0.25">
      <c r="A585" s="20">
        <f t="shared" si="160"/>
        <v>5.7999999999999208</v>
      </c>
      <c r="C585" s="20">
        <f t="shared" si="150"/>
        <v>19.809457068937938</v>
      </c>
      <c r="D585" s="20">
        <f t="shared" si="153"/>
        <v>8.4291161031382844E-2</v>
      </c>
      <c r="E585" s="20">
        <f t="shared" si="154"/>
        <v>1.8352092538946843</v>
      </c>
      <c r="F585" s="20">
        <f t="shared" si="155"/>
        <v>7.0804575266361594E-2</v>
      </c>
      <c r="G585" s="20">
        <f t="shared" si="156"/>
        <v>1.5415757732715349</v>
      </c>
      <c r="I585" s="20">
        <f t="shared" si="151"/>
        <v>-0.50010590010756373</v>
      </c>
      <c r="K585" s="20">
        <f t="shared" si="161"/>
        <v>17.38342823651022</v>
      </c>
      <c r="L585" s="20">
        <f t="shared" si="152"/>
        <v>-4.0016071320521131E-2</v>
      </c>
      <c r="M585" s="20">
        <f t="shared" si="157"/>
        <v>-0.87124039452473612</v>
      </c>
      <c r="N585" s="1">
        <f t="shared" si="162"/>
        <v>170.93723510800646</v>
      </c>
      <c r="P585" s="20">
        <f t="shared" si="163"/>
        <v>-9.4990005849138921</v>
      </c>
      <c r="Q585" s="20">
        <f t="shared" si="158"/>
        <v>-0.34802086588583897</v>
      </c>
      <c r="R585" s="20">
        <f t="shared" si="159"/>
        <v>-7.5772015215728059</v>
      </c>
      <c r="S585" s="20">
        <f t="shared" si="164"/>
        <v>89.76658015670246</v>
      </c>
      <c r="T585" s="1">
        <f t="shared" si="165"/>
        <v>0</v>
      </c>
    </row>
    <row r="586" spans="1:20" x14ac:dyDescent="0.25">
      <c r="A586" s="20">
        <f t="shared" si="160"/>
        <v>5.8099999999999206</v>
      </c>
      <c r="C586" s="20">
        <f t="shared" si="150"/>
        <v>19.838271613388525</v>
      </c>
      <c r="D586" s="20">
        <f t="shared" si="153"/>
        <v>8.4536556738546237E-2</v>
      </c>
      <c r="E586" s="20">
        <f t="shared" si="154"/>
        <v>1.8405520735585943</v>
      </c>
      <c r="F586" s="20">
        <f t="shared" si="155"/>
        <v>7.1010707660378841E-2</v>
      </c>
      <c r="G586" s="20">
        <f t="shared" si="156"/>
        <v>1.5460637417892193</v>
      </c>
      <c r="I586" s="20">
        <f t="shared" si="151"/>
        <v>-0.50366821951198759</v>
      </c>
      <c r="K586" s="20">
        <f t="shared" si="161"/>
        <v>17.374715832564974</v>
      </c>
      <c r="L586" s="20">
        <f t="shared" si="152"/>
        <v>-3.9765927604344817E-2</v>
      </c>
      <c r="M586" s="20">
        <f t="shared" si="157"/>
        <v>-0.8657941999639629</v>
      </c>
      <c r="N586" s="1">
        <f t="shared" si="162"/>
        <v>171.11102582835184</v>
      </c>
      <c r="P586" s="20">
        <f t="shared" si="163"/>
        <v>-9.5747726001296201</v>
      </c>
      <c r="Q586" s="20">
        <f t="shared" si="158"/>
        <v>-0.34757999424956187</v>
      </c>
      <c r="R586" s="20">
        <f t="shared" si="159"/>
        <v>-7.5676027487385564</v>
      </c>
      <c r="S586" s="20">
        <f t="shared" si="164"/>
        <v>89.671211290777237</v>
      </c>
      <c r="T586" s="1">
        <f t="shared" si="165"/>
        <v>0</v>
      </c>
    </row>
    <row r="587" spans="1:20" x14ac:dyDescent="0.25">
      <c r="A587" s="20">
        <f t="shared" si="160"/>
        <v>5.8199999999999203</v>
      </c>
      <c r="C587" s="20">
        <f t="shared" si="150"/>
        <v>19.867338155191838</v>
      </c>
      <c r="D587" s="20">
        <f t="shared" si="153"/>
        <v>8.47844599341155E-2</v>
      </c>
      <c r="E587" s="20">
        <f t="shared" si="154"/>
        <v>1.8459494869173851</v>
      </c>
      <c r="F587" s="20">
        <f t="shared" si="155"/>
        <v>7.121894634465703E-2</v>
      </c>
      <c r="G587" s="20">
        <f t="shared" si="156"/>
        <v>1.5505975690106037</v>
      </c>
      <c r="I587" s="20">
        <f t="shared" si="151"/>
        <v>-0.50721460593868994</v>
      </c>
      <c r="K587" s="20">
        <f t="shared" si="161"/>
        <v>17.366057890565333</v>
      </c>
      <c r="L587" s="20">
        <f t="shared" si="152"/>
        <v>-3.9515965867771854E-2</v>
      </c>
      <c r="M587" s="20">
        <f t="shared" si="157"/>
        <v>-0.86035196751081766</v>
      </c>
      <c r="N587" s="1">
        <f t="shared" si="162"/>
        <v>171.2847296969675</v>
      </c>
      <c r="P587" s="20">
        <f t="shared" si="163"/>
        <v>-9.6504486276170063</v>
      </c>
      <c r="Q587" s="20">
        <f t="shared" si="158"/>
        <v>-0.34713717765243779</v>
      </c>
      <c r="R587" s="20">
        <f t="shared" si="159"/>
        <v>-7.5579616297068979</v>
      </c>
      <c r="S587" s="20">
        <f t="shared" si="164"/>
        <v>89.57508518463851</v>
      </c>
      <c r="T587" s="1">
        <f t="shared" si="165"/>
        <v>0</v>
      </c>
    </row>
    <row r="588" spans="1:20" x14ac:dyDescent="0.25">
      <c r="A588" s="20">
        <f t="shared" si="160"/>
        <v>5.8299999999999201</v>
      </c>
      <c r="C588" s="20">
        <f t="shared" si="150"/>
        <v>19.896654182021422</v>
      </c>
      <c r="D588" s="20">
        <f t="shared" si="153"/>
        <v>8.5034858583711154E-2</v>
      </c>
      <c r="E588" s="20">
        <f t="shared" si="154"/>
        <v>1.8514012319553921</v>
      </c>
      <c r="F588" s="20">
        <f t="shared" si="155"/>
        <v>7.1429281210317372E-2</v>
      </c>
      <c r="G588" s="20">
        <f t="shared" si="156"/>
        <v>1.5551770348425293</v>
      </c>
      <c r="I588" s="20">
        <f t="shared" si="151"/>
        <v>-0.51074502198421323</v>
      </c>
      <c r="K588" s="20">
        <f t="shared" si="161"/>
        <v>17.357454370890224</v>
      </c>
      <c r="L588" s="20">
        <f t="shared" si="152"/>
        <v>-3.926617330534856E-2</v>
      </c>
      <c r="M588" s="20">
        <f t="shared" si="157"/>
        <v>-0.85491341836160595</v>
      </c>
      <c r="N588" s="1">
        <f t="shared" si="162"/>
        <v>171.45834725827476</v>
      </c>
      <c r="P588" s="20">
        <f t="shared" si="163"/>
        <v>-9.7260282439140759</v>
      </c>
      <c r="Q588" s="20">
        <f t="shared" si="158"/>
        <v>-0.34669242099655356</v>
      </c>
      <c r="R588" s="20">
        <f t="shared" si="159"/>
        <v>-7.5482782712073497</v>
      </c>
      <c r="S588" s="20">
        <f t="shared" si="164"/>
        <v>89.478202800280854</v>
      </c>
      <c r="T588" s="1">
        <f t="shared" si="165"/>
        <v>0</v>
      </c>
    </row>
    <row r="589" spans="1:20" x14ac:dyDescent="0.25">
      <c r="A589" s="20">
        <f t="shared" si="160"/>
        <v>5.8399999999999199</v>
      </c>
      <c r="C589" s="20">
        <f t="shared" si="150"/>
        <v>19.926217185339016</v>
      </c>
      <c r="D589" s="20">
        <f t="shared" si="153"/>
        <v>8.5287740639578835E-2</v>
      </c>
      <c r="E589" s="20">
        <f t="shared" si="154"/>
        <v>1.8569070463657487</v>
      </c>
      <c r="F589" s="20">
        <f t="shared" si="155"/>
        <v>7.1641702137246216E-2</v>
      </c>
      <c r="G589" s="20">
        <f t="shared" si="156"/>
        <v>1.5598019189472287</v>
      </c>
      <c r="I589" s="20">
        <f t="shared" si="151"/>
        <v>-0.51425943248948502</v>
      </c>
      <c r="K589" s="20">
        <f t="shared" si="161"/>
        <v>17.348905236706607</v>
      </c>
      <c r="L589" s="20">
        <f t="shared" si="152"/>
        <v>-3.9016537334361681E-2</v>
      </c>
      <c r="M589" s="20">
        <f t="shared" si="157"/>
        <v>-0.84947827856219649</v>
      </c>
      <c r="N589" s="1">
        <f t="shared" si="162"/>
        <v>171.63187905631273</v>
      </c>
      <c r="P589" s="20">
        <f t="shared" si="163"/>
        <v>-9.8015110266261498</v>
      </c>
      <c r="Q589" s="20">
        <f t="shared" si="158"/>
        <v>-0.34624572932492709</v>
      </c>
      <c r="R589" s="20">
        <f t="shared" si="159"/>
        <v>-7.5385527830378205</v>
      </c>
      <c r="S589" s="20">
        <f t="shared" si="164"/>
        <v>89.380565103928163</v>
      </c>
      <c r="T589" s="1">
        <f t="shared" si="165"/>
        <v>0</v>
      </c>
    </row>
    <row r="590" spans="1:20" x14ac:dyDescent="0.25">
      <c r="A590" s="20">
        <f t="shared" si="160"/>
        <v>5.8499999999999197</v>
      </c>
      <c r="C590" s="20">
        <f t="shared" si="150"/>
        <v>19.95602466068549</v>
      </c>
      <c r="D590" s="20">
        <f t="shared" si="153"/>
        <v>8.5543094040646958E-2</v>
      </c>
      <c r="E590" s="20">
        <f t="shared" si="154"/>
        <v>1.862466667551643</v>
      </c>
      <c r="F590" s="20">
        <f t="shared" si="155"/>
        <v>7.1856198994143444E-2</v>
      </c>
      <c r="G590" s="20">
        <f t="shared" si="156"/>
        <v>1.5644720007433801</v>
      </c>
      <c r="I590" s="20">
        <f t="shared" si="151"/>
        <v>-0.51775780451192266</v>
      </c>
      <c r="K590" s="20">
        <f t="shared" si="161"/>
        <v>17.340410453920985</v>
      </c>
      <c r="L590" s="20">
        <f t="shared" si="152"/>
        <v>-3.8767045594290631E-2</v>
      </c>
      <c r="M590" s="20">
        <f t="shared" si="157"/>
        <v>-0.84404627899609475</v>
      </c>
      <c r="N590" s="1">
        <f t="shared" si="162"/>
        <v>171.80532563476586</v>
      </c>
      <c r="P590" s="20">
        <f t="shared" si="163"/>
        <v>-9.8768965544565273</v>
      </c>
      <c r="Q590" s="20">
        <f t="shared" si="158"/>
        <v>-0.34579710781960482</v>
      </c>
      <c r="R590" s="20">
        <f t="shared" si="159"/>
        <v>-7.5287852780231841</v>
      </c>
      <c r="S590" s="20">
        <f t="shared" si="164"/>
        <v>89.28217306602275</v>
      </c>
      <c r="T590" s="1">
        <f t="shared" si="165"/>
        <v>0</v>
      </c>
    </row>
    <row r="591" spans="1:20" x14ac:dyDescent="0.25">
      <c r="A591" s="20">
        <f t="shared" si="160"/>
        <v>5.8599999999999195</v>
      </c>
      <c r="C591" s="20">
        <f t="shared" si="150"/>
        <v>19.986074107966097</v>
      </c>
      <c r="D591" s="20">
        <f t="shared" si="153"/>
        <v>8.5800906712591163E-2</v>
      </c>
      <c r="E591" s="20">
        <f t="shared" si="154"/>
        <v>1.8680798326277197</v>
      </c>
      <c r="F591" s="20">
        <f t="shared" si="155"/>
        <v>7.207276163857658E-2</v>
      </c>
      <c r="G591" s="20">
        <f t="shared" si="156"/>
        <v>1.5691870594072845</v>
      </c>
      <c r="I591" s="20">
        <f t="shared" si="151"/>
        <v>-0.521240107297259</v>
      </c>
      <c r="K591" s="20">
        <f t="shared" si="161"/>
        <v>17.331969991131025</v>
      </c>
      <c r="L591" s="20">
        <f t="shared" si="152"/>
        <v>-3.8517685946220584E-2</v>
      </c>
      <c r="M591" s="20">
        <f t="shared" si="157"/>
        <v>-0.83861715537166526</v>
      </c>
      <c r="N591" s="1">
        <f t="shared" si="162"/>
        <v>171.97868753699112</v>
      </c>
      <c r="P591" s="20">
        <f t="shared" si="163"/>
        <v>-9.9521844072367589</v>
      </c>
      <c r="Q591" s="20">
        <f t="shared" si="158"/>
        <v>-0.34534656179975848</v>
      </c>
      <c r="R591" s="20">
        <f t="shared" si="159"/>
        <v>-7.51897587197384</v>
      </c>
      <c r="S591" s="20">
        <f t="shared" si="164"/>
        <v>89.183027661214282</v>
      </c>
      <c r="T591" s="1">
        <f t="shared" si="165"/>
        <v>0</v>
      </c>
    </row>
    <row r="592" spans="1:20" x14ac:dyDescent="0.25">
      <c r="A592" s="20">
        <f t="shared" si="160"/>
        <v>5.8699999999999193</v>
      </c>
      <c r="C592" s="20">
        <f t="shared" si="150"/>
        <v>20.016363031730126</v>
      </c>
      <c r="D592" s="20">
        <f t="shared" si="153"/>
        <v>8.6061166567906119E-2</v>
      </c>
      <c r="E592" s="20">
        <f t="shared" si="154"/>
        <v>1.8737462784216443</v>
      </c>
      <c r="F592" s="20">
        <f t="shared" si="155"/>
        <v>7.229137991704114E-2</v>
      </c>
      <c r="G592" s="20">
        <f t="shared" si="156"/>
        <v>1.5739468738741813</v>
      </c>
      <c r="I592" s="20">
        <f t="shared" si="151"/>
        <v>-0.52470631225111231</v>
      </c>
      <c r="K592" s="20">
        <f t="shared" si="161"/>
        <v>17.323583819577308</v>
      </c>
      <c r="L592" s="20">
        <f t="shared" si="152"/>
        <v>-3.8268446472217686E-2</v>
      </c>
      <c r="M592" s="20">
        <f t="shared" si="157"/>
        <v>-0.83319064820852795</v>
      </c>
      <c r="N592" s="1">
        <f t="shared" si="162"/>
        <v>172.15196530604464</v>
      </c>
      <c r="P592" s="20">
        <f t="shared" si="163"/>
        <v>-10.027374165956497</v>
      </c>
      <c r="Q592" s="20">
        <f t="shared" si="158"/>
        <v>-0.34489409671978088</v>
      </c>
      <c r="R592" s="20">
        <f t="shared" si="159"/>
        <v>-7.5091246836442611</v>
      </c>
      <c r="S592" s="20">
        <f t="shared" si="164"/>
        <v>89.083129868348308</v>
      </c>
      <c r="T592" s="1">
        <f t="shared" si="165"/>
        <v>0</v>
      </c>
    </row>
    <row r="593" spans="1:20" x14ac:dyDescent="0.25">
      <c r="A593" s="20">
        <f t="shared" si="160"/>
        <v>5.8799999999999191</v>
      </c>
      <c r="C593" s="20">
        <f t="shared" si="150"/>
        <v>20.046888941444891</v>
      </c>
      <c r="D593" s="20">
        <f t="shared" si="153"/>
        <v>8.6323861505984201E-2</v>
      </c>
      <c r="E593" s="20">
        <f t="shared" si="154"/>
        <v>1.8794657414758154</v>
      </c>
      <c r="F593" s="20">
        <f t="shared" si="155"/>
        <v>7.251204366502674E-2</v>
      </c>
      <c r="G593" s="20">
        <f t="shared" si="156"/>
        <v>1.5787512228396852</v>
      </c>
      <c r="I593" s="20">
        <f t="shared" si="151"/>
        <v>-0.52815639291032301</v>
      </c>
      <c r="K593" s="20">
        <f t="shared" si="161"/>
        <v>17.315251913095224</v>
      </c>
      <c r="L593" s="20">
        <f t="shared" si="152"/>
        <v>-3.8019315474666471E-2</v>
      </c>
      <c r="M593" s="20">
        <f t="shared" si="157"/>
        <v>-0.82776650282313247</v>
      </c>
      <c r="N593" s="1">
        <f t="shared" si="162"/>
        <v>172.32515948470802</v>
      </c>
      <c r="P593" s="20">
        <f t="shared" si="163"/>
        <v>-10.10246541279294</v>
      </c>
      <c r="Q593" s="20">
        <f t="shared" si="158"/>
        <v>-0.34443971816738272</v>
      </c>
      <c r="R593" s="20">
        <f t="shared" si="159"/>
        <v>-7.499231834691547</v>
      </c>
      <c r="S593" s="20">
        <f t="shared" si="164"/>
        <v>88.982480670454564</v>
      </c>
      <c r="T593" s="1">
        <f t="shared" si="165"/>
        <v>0</v>
      </c>
    </row>
    <row r="594" spans="1:20" x14ac:dyDescent="0.25">
      <c r="A594" s="20">
        <f t="shared" si="160"/>
        <v>5.8899999999999189</v>
      </c>
      <c r="C594" s="20">
        <f t="shared" si="150"/>
        <v>20.077649351764077</v>
      </c>
      <c r="D594" s="20">
        <f t="shared" si="153"/>
        <v>8.6588979413201178E-2</v>
      </c>
      <c r="E594" s="20">
        <f t="shared" si="154"/>
        <v>1.8852379580492311</v>
      </c>
      <c r="F594" s="20">
        <f t="shared" si="155"/>
        <v>7.273474270708899E-2</v>
      </c>
      <c r="G594" s="20">
        <f t="shared" si="156"/>
        <v>1.5835998847613542</v>
      </c>
      <c r="I594" s="20">
        <f t="shared" si="151"/>
        <v>-0.53159032491407787</v>
      </c>
      <c r="K594" s="20">
        <f t="shared" si="161"/>
        <v>17.306974248066993</v>
      </c>
      <c r="L594" s="20">
        <f t="shared" si="152"/>
        <v>-3.7770281475571009E-2</v>
      </c>
      <c r="M594" s="20">
        <f t="shared" si="157"/>
        <v>-0.82234446931354255</v>
      </c>
      <c r="N594" s="1">
        <f t="shared" si="162"/>
        <v>172.49827061551383</v>
      </c>
      <c r="P594" s="20">
        <f t="shared" si="163"/>
        <v>-10.177457731139855</v>
      </c>
      <c r="Q594" s="20">
        <f t="shared" si="158"/>
        <v>-0.34398343186168984</v>
      </c>
      <c r="R594" s="20">
        <f t="shared" si="159"/>
        <v>-7.4892974496340052</v>
      </c>
      <c r="S594" s="20">
        <f t="shared" si="164"/>
        <v>88.881081054734906</v>
      </c>
      <c r="T594" s="1">
        <f t="shared" si="165"/>
        <v>0</v>
      </c>
    </row>
    <row r="595" spans="1:20" x14ac:dyDescent="0.25">
      <c r="A595" s="20">
        <f t="shared" si="160"/>
        <v>5.8999999999999186</v>
      </c>
      <c r="C595" s="20">
        <f t="shared" si="150"/>
        <v>20.108641782790468</v>
      </c>
      <c r="D595" s="20">
        <f t="shared" si="153"/>
        <v>8.685650816300873E-2</v>
      </c>
      <c r="E595" s="20">
        <f t="shared" si="154"/>
        <v>1.8910626641195021</v>
      </c>
      <c r="F595" s="20">
        <f t="shared" si="155"/>
        <v>7.2959466856927335E-2</v>
      </c>
      <c r="G595" s="20">
        <f t="shared" si="156"/>
        <v>1.5884926378603819</v>
      </c>
      <c r="I595" s="20">
        <f t="shared" si="151"/>
        <v>-0.53500808597484451</v>
      </c>
      <c r="K595" s="20">
        <f t="shared" si="161"/>
        <v>17.298750803373856</v>
      </c>
      <c r="L595" s="20">
        <f t="shared" si="152"/>
        <v>-3.7521333215819692E-2</v>
      </c>
      <c r="M595" s="20">
        <f t="shared" si="157"/>
        <v>-0.81692430254342896</v>
      </c>
      <c r="N595" s="1">
        <f t="shared" si="162"/>
        <v>172.67129924077102</v>
      </c>
      <c r="P595" s="20">
        <f t="shared" si="163"/>
        <v>-10.252350705636195</v>
      </c>
      <c r="Q595" s="20">
        <f t="shared" si="158"/>
        <v>-0.34352524365134274</v>
      </c>
      <c r="R595" s="20">
        <f t="shared" si="159"/>
        <v>-7.4793216558097706</v>
      </c>
      <c r="S595" s="20">
        <f t="shared" si="164"/>
        <v>88.778932012551024</v>
      </c>
      <c r="T595" s="1">
        <f t="shared" si="165"/>
        <v>0</v>
      </c>
    </row>
    <row r="596" spans="1:20" x14ac:dyDescent="0.25">
      <c r="A596" s="20">
        <f t="shared" si="160"/>
        <v>5.9099999999999184</v>
      </c>
      <c r="C596" s="20">
        <f t="shared" si="150"/>
        <v>20.139863760333022</v>
      </c>
      <c r="D596" s="20">
        <f t="shared" si="153"/>
        <v>8.7126435616033698E-2</v>
      </c>
      <c r="E596" s="20">
        <f t="shared" si="154"/>
        <v>1.8969395953850141</v>
      </c>
      <c r="F596" s="20">
        <f t="shared" si="155"/>
        <v>7.3186205917468314E-2</v>
      </c>
      <c r="G596" s="20">
        <f t="shared" si="156"/>
        <v>1.5934292601234121</v>
      </c>
      <c r="I596" s="20">
        <f t="shared" si="151"/>
        <v>-0.53840965584913503</v>
      </c>
      <c r="K596" s="20">
        <f t="shared" si="161"/>
        <v>17.290581560348421</v>
      </c>
      <c r="L596" s="20">
        <f t="shared" si="152"/>
        <v>-3.7272459654415314E-2</v>
      </c>
      <c r="M596" s="20">
        <f t="shared" si="157"/>
        <v>-0.81150576212530623</v>
      </c>
      <c r="N596" s="1">
        <f t="shared" si="162"/>
        <v>172.84424590258965</v>
      </c>
      <c r="P596" s="20">
        <f t="shared" si="163"/>
        <v>-10.327143922194292</v>
      </c>
      <c r="Q596" s="20">
        <f t="shared" si="158"/>
        <v>-0.34306515951259819</v>
      </c>
      <c r="R596" s="20">
        <f t="shared" si="159"/>
        <v>-7.4693045833354716</v>
      </c>
      <c r="S596" s="20">
        <f t="shared" si="164"/>
        <v>88.676034539411873</v>
      </c>
      <c r="T596" s="1">
        <f t="shared" si="165"/>
        <v>0</v>
      </c>
    </row>
    <row r="597" spans="1:20" x14ac:dyDescent="0.25">
      <c r="A597" s="20">
        <f t="shared" si="160"/>
        <v>5.9199999999999182</v>
      </c>
      <c r="C597" s="20">
        <f t="shared" si="150"/>
        <v>20.171312816158327</v>
      </c>
      <c r="D597" s="20">
        <f t="shared" si="153"/>
        <v>8.7398749620183902E-2</v>
      </c>
      <c r="E597" s="20">
        <f t="shared" si="154"/>
        <v>1.9028684872672306</v>
      </c>
      <c r="F597" s="20">
        <f t="shared" si="155"/>
        <v>7.341494968095448E-2</v>
      </c>
      <c r="G597" s="20">
        <f t="shared" si="156"/>
        <v>1.5984095293044738</v>
      </c>
      <c r="I597" s="20">
        <f t="shared" si="151"/>
        <v>-0.54179501630812221</v>
      </c>
      <c r="K597" s="20">
        <f t="shared" si="161"/>
        <v>17.282466502727168</v>
      </c>
      <c r="L597" s="20">
        <f t="shared" si="152"/>
        <v>-3.7023649967670172E-2</v>
      </c>
      <c r="M597" s="20">
        <f t="shared" si="157"/>
        <v>-0.80608861240300833</v>
      </c>
      <c r="N597" s="1">
        <f t="shared" si="162"/>
        <v>173.01711114290504</v>
      </c>
      <c r="P597" s="20">
        <f t="shared" si="163"/>
        <v>-10.401836968027647</v>
      </c>
      <c r="Q597" s="20">
        <f t="shared" si="158"/>
        <v>-0.34260318554743441</v>
      </c>
      <c r="R597" s="20">
        <f t="shared" si="159"/>
        <v>-7.4592463650649776</v>
      </c>
      <c r="S597" s="20">
        <f t="shared" si="164"/>
        <v>88.572389634960771</v>
      </c>
      <c r="T597" s="1">
        <f t="shared" si="165"/>
        <v>0</v>
      </c>
    </row>
    <row r="598" spans="1:20" x14ac:dyDescent="0.25">
      <c r="A598" s="20">
        <f t="shared" si="160"/>
        <v>5.929999999999918</v>
      </c>
      <c r="C598" s="20">
        <f t="shared" si="150"/>
        <v>20.202986488236466</v>
      </c>
      <c r="D598" s="20">
        <f t="shared" si="153"/>
        <v>8.7673438010760621E-2</v>
      </c>
      <c r="E598" s="20">
        <f t="shared" si="154"/>
        <v>1.9088490749131422</v>
      </c>
      <c r="F598" s="20">
        <f t="shared" si="155"/>
        <v>7.3645687929038917E-2</v>
      </c>
      <c r="G598" s="20">
        <f t="shared" si="156"/>
        <v>1.6034332229270394</v>
      </c>
      <c r="I598" s="20">
        <f t="shared" si="151"/>
        <v>-0.54516415110812455</v>
      </c>
      <c r="K598" s="20">
        <f t="shared" si="161"/>
        <v>17.274405616603136</v>
      </c>
      <c r="L598" s="20">
        <f t="shared" si="152"/>
        <v>-3.6774893548367937E-2</v>
      </c>
      <c r="M598" s="20">
        <f t="shared" si="157"/>
        <v>-0.80067262243344084</v>
      </c>
      <c r="N598" s="1">
        <f t="shared" si="162"/>
        <v>173.18989550350167</v>
      </c>
      <c r="P598" s="20">
        <f t="shared" si="163"/>
        <v>-10.476429431678296</v>
      </c>
      <c r="Q598" s="20">
        <f t="shared" si="158"/>
        <v>-0.34213932798165936</v>
      </c>
      <c r="R598" s="20">
        <f t="shared" si="159"/>
        <v>-7.4491471365482118</v>
      </c>
      <c r="S598" s="20">
        <f t="shared" si="164"/>
        <v>88.467998302962243</v>
      </c>
      <c r="T598" s="1">
        <f t="shared" si="165"/>
        <v>0</v>
      </c>
    </row>
    <row r="599" spans="1:20" x14ac:dyDescent="0.25">
      <c r="A599" s="20">
        <f t="shared" si="160"/>
        <v>5.9399999999999178</v>
      </c>
      <c r="C599" s="20">
        <f t="shared" si="150"/>
        <v>20.234882320981274</v>
      </c>
      <c r="D599" s="20">
        <f t="shared" si="153"/>
        <v>8.7950488610577388E-2</v>
      </c>
      <c r="E599" s="20">
        <f t="shared" si="154"/>
        <v>1.914881093197853</v>
      </c>
      <c r="F599" s="20">
        <f t="shared" si="155"/>
        <v>7.3878410432885011E-2</v>
      </c>
      <c r="G599" s="20">
        <f t="shared" si="156"/>
        <v>1.6085001182861967</v>
      </c>
      <c r="I599" s="20">
        <f t="shared" si="151"/>
        <v>-0.54851704596098305</v>
      </c>
      <c r="K599" s="20">
        <f t="shared" si="161"/>
        <v>17.266398890378802</v>
      </c>
      <c r="L599" s="20">
        <f t="shared" si="152"/>
        <v>-3.6526180004892196E-2</v>
      </c>
      <c r="M599" s="20">
        <f t="shared" si="157"/>
        <v>-0.79525756596760722</v>
      </c>
      <c r="N599" s="1">
        <f t="shared" si="162"/>
        <v>173.3625995260366</v>
      </c>
      <c r="P599" s="20">
        <f t="shared" si="163"/>
        <v>-10.550920903043778</v>
      </c>
      <c r="Q599" s="20">
        <f t="shared" si="158"/>
        <v>-0.34167359316302393</v>
      </c>
      <c r="R599" s="20">
        <f t="shared" si="159"/>
        <v>-7.4390070359900706</v>
      </c>
      <c r="S599" s="20">
        <f t="shared" si="164"/>
        <v>88.362861551288631</v>
      </c>
      <c r="T599" s="1">
        <f t="shared" si="165"/>
        <v>0</v>
      </c>
    </row>
    <row r="600" spans="1:20" x14ac:dyDescent="0.25">
      <c r="A600" s="20">
        <f t="shared" si="160"/>
        <v>5.9499999999999176</v>
      </c>
      <c r="C600" s="20">
        <f t="shared" si="150"/>
        <v>20.266997865485031</v>
      </c>
      <c r="D600" s="20">
        <f t="shared" si="153"/>
        <v>8.8229889230085276E-2</v>
      </c>
      <c r="E600" s="20">
        <f t="shared" si="154"/>
        <v>1.9209642767273085</v>
      </c>
      <c r="F600" s="20">
        <f t="shared" si="155"/>
        <v>7.4113106953271626E-2</v>
      </c>
      <c r="G600" s="20">
        <f t="shared" si="156"/>
        <v>1.6136099924509391</v>
      </c>
      <c r="I600" s="20">
        <f t="shared" si="151"/>
        <v>-0.55185368850434591</v>
      </c>
      <c r="K600" s="20">
        <f t="shared" si="161"/>
        <v>17.258446314719126</v>
      </c>
      <c r="L600" s="20">
        <f t="shared" si="152"/>
        <v>-3.6277499160323162E-2</v>
      </c>
      <c r="M600" s="20">
        <f t="shared" si="157"/>
        <v>-0.78984322143094199</v>
      </c>
      <c r="N600" s="1">
        <f t="shared" si="162"/>
        <v>173.53522375206211</v>
      </c>
      <c r="P600" s="20">
        <f t="shared" si="163"/>
        <v>-10.625310973403678</v>
      </c>
      <c r="Q600" s="20">
        <f t="shared" si="158"/>
        <v>-0.34120598755933995</v>
      </c>
      <c r="R600" s="20">
        <f t="shared" si="159"/>
        <v>-7.4288262042094484</v>
      </c>
      <c r="S600" s="20">
        <f t="shared" si="164"/>
        <v>88.256980391906382</v>
      </c>
      <c r="T600" s="1">
        <f t="shared" si="165"/>
        <v>0</v>
      </c>
    </row>
    <row r="601" spans="1:20" x14ac:dyDescent="0.25">
      <c r="A601" s="20">
        <f t="shared" si="160"/>
        <v>5.9599999999999174</v>
      </c>
      <c r="C601" s="20">
        <f t="shared" si="150"/>
        <v>20.299330679747627</v>
      </c>
      <c r="D601" s="20">
        <f t="shared" si="153"/>
        <v>8.8511627667504367E-2</v>
      </c>
      <c r="E601" s="20">
        <f t="shared" si="154"/>
        <v>1.9270983598411575</v>
      </c>
      <c r="F601" s="20">
        <f t="shared" si="155"/>
        <v>7.4349767240703662E-2</v>
      </c>
      <c r="G601" s="20">
        <f t="shared" si="156"/>
        <v>1.6187626222665723</v>
      </c>
      <c r="I601" s="20">
        <f t="shared" si="151"/>
        <v>-0.55517406827188265</v>
      </c>
      <c r="K601" s="20">
        <f t="shared" si="161"/>
        <v>17.250547882504819</v>
      </c>
      <c r="L601" s="20">
        <f t="shared" si="152"/>
        <v>-3.6028841051502641E-2</v>
      </c>
      <c r="M601" s="20">
        <f t="shared" si="157"/>
        <v>-0.78442937190295325</v>
      </c>
      <c r="N601" s="1">
        <f t="shared" si="162"/>
        <v>173.70776872304822</v>
      </c>
      <c r="P601" s="20">
        <f t="shared" si="163"/>
        <v>-10.699599235445772</v>
      </c>
      <c r="Q601" s="20">
        <f t="shared" si="158"/>
        <v>-0.34073651775660352</v>
      </c>
      <c r="R601" s="20">
        <f t="shared" si="159"/>
        <v>-7.4186047845983785</v>
      </c>
      <c r="S601" s="20">
        <f t="shared" si="164"/>
        <v>88.150355840862133</v>
      </c>
      <c r="T601" s="1">
        <f t="shared" si="165"/>
        <v>0</v>
      </c>
    </row>
    <row r="602" spans="1:20" x14ac:dyDescent="0.25">
      <c r="A602" s="20">
        <f t="shared" si="160"/>
        <v>5.9699999999999172</v>
      </c>
      <c r="C602" s="20">
        <f t="shared" si="150"/>
        <v>20.331878328900171</v>
      </c>
      <c r="D602" s="20">
        <f t="shared" si="153"/>
        <v>8.8795691708961372E-2</v>
      </c>
      <c r="E602" s="20">
        <f t="shared" si="154"/>
        <v>1.9332830766157496</v>
      </c>
      <c r="F602" s="20">
        <f t="shared" si="155"/>
        <v>7.4588381035527562E-2</v>
      </c>
      <c r="G602" s="20">
        <f t="shared" si="156"/>
        <v>1.6239577843572297</v>
      </c>
      <c r="I602" s="20">
        <f t="shared" si="151"/>
        <v>-0.55847817666344191</v>
      </c>
      <c r="K602" s="20">
        <f t="shared" si="161"/>
        <v>17.24270358878579</v>
      </c>
      <c r="L602" s="20">
        <f t="shared" si="152"/>
        <v>-3.5780195928068602E-2</v>
      </c>
      <c r="M602" s="20">
        <f t="shared" si="157"/>
        <v>-0.77901580509620294</v>
      </c>
      <c r="N602" s="1">
        <f t="shared" si="162"/>
        <v>173.88023498040468</v>
      </c>
      <c r="P602" s="20">
        <f t="shared" si="163"/>
        <v>-10.773785283291756</v>
      </c>
      <c r="Q602" s="20">
        <f t="shared" si="158"/>
        <v>-0.34026519045712467</v>
      </c>
      <c r="R602" s="20">
        <f t="shared" si="159"/>
        <v>-7.408342923081312</v>
      </c>
      <c r="S602" s="20">
        <f t="shared" si="164"/>
        <v>88.042988918268449</v>
      </c>
      <c r="T602" s="1">
        <f t="shared" si="165"/>
        <v>0</v>
      </c>
    </row>
    <row r="603" spans="1:20" x14ac:dyDescent="0.25">
      <c r="A603" s="20">
        <f t="shared" si="160"/>
        <v>5.9799999999999169</v>
      </c>
      <c r="C603" s="20">
        <f t="shared" si="150"/>
        <v>20.364638385423145</v>
      </c>
      <c r="D603" s="20">
        <f t="shared" si="153"/>
        <v>8.9082069128633368E-2</v>
      </c>
      <c r="E603" s="20">
        <f t="shared" si="154"/>
        <v>1.9395181608672625</v>
      </c>
      <c r="F603" s="20">
        <f t="shared" si="155"/>
        <v>7.4828938068052034E-2</v>
      </c>
      <c r="G603" s="20">
        <f t="shared" si="156"/>
        <v>1.6291952551285007</v>
      </c>
      <c r="I603" s="20">
        <f t="shared" si="151"/>
        <v>-0.56176600691517453</v>
      </c>
      <c r="K603" s="20">
        <f t="shared" si="161"/>
        <v>17.234913430734828</v>
      </c>
      <c r="L603" s="20">
        <f t="shared" si="152"/>
        <v>-3.5531554251459679E-2</v>
      </c>
      <c r="M603" s="20">
        <f t="shared" si="157"/>
        <v>-0.7736023133346327</v>
      </c>
      <c r="N603" s="1">
        <f t="shared" si="162"/>
        <v>174.0526230655023</v>
      </c>
      <c r="P603" s="20">
        <f t="shared" si="163"/>
        <v>-10.847868712522569</v>
      </c>
      <c r="Q603" s="20">
        <f t="shared" si="158"/>
        <v>-0.33979201247766366</v>
      </c>
      <c r="R603" s="20">
        <f t="shared" si="159"/>
        <v>-7.3980407680745408</v>
      </c>
      <c r="S603" s="20">
        <f t="shared" si="164"/>
        <v>87.934880648289379</v>
      </c>
      <c r="T603" s="1">
        <f t="shared" si="165"/>
        <v>0</v>
      </c>
    </row>
    <row r="604" spans="1:20" x14ac:dyDescent="0.25">
      <c r="A604" s="20">
        <f t="shared" si="160"/>
        <v>5.9899999999999167</v>
      </c>
      <c r="C604" s="20">
        <f t="shared" si="150"/>
        <v>20.397608429359085</v>
      </c>
      <c r="D604" s="20">
        <f t="shared" si="153"/>
        <v>8.9370747688897467E-2</v>
      </c>
      <c r="E604" s="20">
        <f t="shared" si="154"/>
        <v>1.9458033461549635</v>
      </c>
      <c r="F604" s="20">
        <f t="shared" si="155"/>
        <v>7.5071428058673867E-2</v>
      </c>
      <c r="G604" s="20">
        <f t="shared" si="156"/>
        <v>1.6344748107701692</v>
      </c>
      <c r="I604" s="20">
        <f t="shared" si="151"/>
        <v>-0.56503755406963574</v>
      </c>
      <c r="K604" s="20">
        <f t="shared" si="161"/>
        <v>17.227177407601481</v>
      </c>
      <c r="L604" s="20">
        <f t="shared" si="152"/>
        <v>-3.5282906693890607E-2</v>
      </c>
      <c r="M604" s="20">
        <f t="shared" si="157"/>
        <v>-0.76818869353125641</v>
      </c>
      <c r="N604" s="1">
        <f t="shared" si="162"/>
        <v>174.22493351969399</v>
      </c>
      <c r="P604" s="20">
        <f t="shared" si="163"/>
        <v>-10.921849120203314</v>
      </c>
      <c r="Q604" s="20">
        <f t="shared" si="158"/>
        <v>-0.33931699074757415</v>
      </c>
      <c r="R604" s="20">
        <f t="shared" si="159"/>
        <v>-7.3876984704457689</v>
      </c>
      <c r="S604" s="20">
        <f t="shared" si="164"/>
        <v>87.826032059125751</v>
      </c>
      <c r="T604" s="1">
        <f t="shared" si="165"/>
        <v>0</v>
      </c>
    </row>
    <row r="605" spans="1:20" x14ac:dyDescent="0.25">
      <c r="A605" s="20">
        <f t="shared" si="160"/>
        <v>5.9999999999999165</v>
      </c>
      <c r="C605" s="20">
        <f t="shared" si="150"/>
        <v>20.430786048519828</v>
      </c>
      <c r="D605" s="20">
        <f t="shared" si="153"/>
        <v>8.9661715140486362E-2</v>
      </c>
      <c r="E605" s="20">
        <f t="shared" si="154"/>
        <v>1.9521383657845932</v>
      </c>
      <c r="F605" s="20">
        <f t="shared" si="155"/>
        <v>7.5315840718008537E-2</v>
      </c>
      <c r="G605" s="20">
        <f t="shared" si="156"/>
        <v>1.639796227259058</v>
      </c>
      <c r="I605" s="20">
        <f t="shared" si="151"/>
        <v>-0.56829281494588524</v>
      </c>
      <c r="K605" s="20">
        <f t="shared" si="161"/>
        <v>17.219495520666168</v>
      </c>
      <c r="L605" s="20">
        <f t="shared" si="152"/>
        <v>-3.5034244137299143E-2</v>
      </c>
      <c r="M605" s="20">
        <f t="shared" si="157"/>
        <v>-0.76277474716523286</v>
      </c>
      <c r="N605" s="1">
        <f t="shared" si="162"/>
        <v>174.39716688433535</v>
      </c>
      <c r="P605" s="20">
        <f t="shared" si="163"/>
        <v>-10.995726104907771</v>
      </c>
      <c r="Q605" s="20">
        <f t="shared" si="158"/>
        <v>-0.33884013230695431</v>
      </c>
      <c r="R605" s="20">
        <f t="shared" si="159"/>
        <v>-7.3773161834738588</v>
      </c>
      <c r="S605" s="20">
        <f t="shared" si="164"/>
        <v>87.716444183000206</v>
      </c>
      <c r="T605" s="1">
        <f t="shared" si="165"/>
        <v>0</v>
      </c>
    </row>
    <row r="606" spans="1:20" x14ac:dyDescent="0.25">
      <c r="A606" s="20">
        <f t="shared" si="160"/>
        <v>6.0099999999999163</v>
      </c>
      <c r="C606" s="20">
        <f t="shared" si="150"/>
        <v>20.464168838688391</v>
      </c>
      <c r="D606" s="20">
        <f t="shared" si="153"/>
        <v>8.9954959222649733E-2</v>
      </c>
      <c r="E606" s="20">
        <f t="shared" si="154"/>
        <v>1.9585229528118819</v>
      </c>
      <c r="F606" s="20">
        <f t="shared" si="155"/>
        <v>7.5562165747025775E-2</v>
      </c>
      <c r="G606" s="20">
        <f t="shared" si="156"/>
        <v>1.6451592803619808</v>
      </c>
      <c r="I606" s="20">
        <f t="shared" si="151"/>
        <v>-0.5715317881095997</v>
      </c>
      <c r="K606" s="20">
        <f t="shared" si="161"/>
        <v>17.211867773194516</v>
      </c>
      <c r="L606" s="20">
        <f t="shared" si="152"/>
        <v>-3.4785557672265523E-2</v>
      </c>
      <c r="M606" s="20">
        <f t="shared" si="157"/>
        <v>-0.75736028025833935</v>
      </c>
      <c r="N606" s="1">
        <f t="shared" si="162"/>
        <v>174.56932370080466</v>
      </c>
      <c r="P606" s="20">
        <f t="shared" si="163"/>
        <v>-11.069499266742509</v>
      </c>
      <c r="Q606" s="20">
        <f t="shared" si="158"/>
        <v>-0.33836144430480591</v>
      </c>
      <c r="R606" s="20">
        <f t="shared" si="159"/>
        <v>-7.3668940628087505</v>
      </c>
      <c r="S606" s="20">
        <f t="shared" si="164"/>
        <v>87.606118056141952</v>
      </c>
      <c r="T606" s="1">
        <f t="shared" si="165"/>
        <v>0</v>
      </c>
    </row>
    <row r="607" spans="1:20" x14ac:dyDescent="0.25">
      <c r="A607" s="20">
        <f t="shared" si="160"/>
        <v>6.0199999999999161</v>
      </c>
      <c r="C607" s="20">
        <f t="shared" si="150"/>
        <v>20.497754403815474</v>
      </c>
      <c r="D607" s="20">
        <f t="shared" si="153"/>
        <v>9.0250467663321107E-2</v>
      </c>
      <c r="E607" s="20">
        <f t="shared" si="154"/>
        <v>1.9649568400461814</v>
      </c>
      <c r="F607" s="20">
        <f t="shared" si="155"/>
        <v>7.5810392837189725E-2</v>
      </c>
      <c r="G607" s="20">
        <f t="shared" si="156"/>
        <v>1.6505637456387923</v>
      </c>
      <c r="I607" s="20">
        <f t="shared" si="151"/>
        <v>-0.5747544738432141</v>
      </c>
      <c r="K607" s="20">
        <f t="shared" si="161"/>
        <v>17.204294170391933</v>
      </c>
      <c r="L607" s="20">
        <f t="shared" si="152"/>
        <v>-3.4536838596904963E-2</v>
      </c>
      <c r="M607" s="20">
        <f t="shared" si="157"/>
        <v>-0.75194510335085918</v>
      </c>
      <c r="N607" s="1">
        <f t="shared" si="162"/>
        <v>174.74140451052261</v>
      </c>
      <c r="P607" s="20">
        <f t="shared" si="163"/>
        <v>-11.143168207370596</v>
      </c>
      <c r="Q607" s="20">
        <f t="shared" si="158"/>
        <v>-0.3378809339972022</v>
      </c>
      <c r="R607" s="20">
        <f t="shared" si="159"/>
        <v>-7.3564322664315744</v>
      </c>
      <c r="S607" s="20">
        <f t="shared" si="164"/>
        <v>87.495054718771399</v>
      </c>
      <c r="T607" s="1">
        <f t="shared" si="165"/>
        <v>0</v>
      </c>
    </row>
    <row r="608" spans="1:20" x14ac:dyDescent="0.25">
      <c r="A608" s="20">
        <f t="shared" si="160"/>
        <v>6.0299999999999159</v>
      </c>
      <c r="C608" s="20">
        <f t="shared" si="150"/>
        <v>20.531540356210694</v>
      </c>
      <c r="D608" s="20">
        <f t="shared" si="153"/>
        <v>9.054822817929066E-2</v>
      </c>
      <c r="E608" s="20">
        <f t="shared" si="154"/>
        <v>1.9714397600542273</v>
      </c>
      <c r="F608" s="20">
        <f t="shared" si="155"/>
        <v>7.6060511670604153E-2</v>
      </c>
      <c r="G608" s="20">
        <f t="shared" si="156"/>
        <v>1.6560093984455508</v>
      </c>
      <c r="I608" s="20">
        <f t="shared" si="151"/>
        <v>-0.57796087411610741</v>
      </c>
      <c r="K608" s="20">
        <f t="shared" si="161"/>
        <v>17.196774719358423</v>
      </c>
      <c r="L608" s="20">
        <f t="shared" si="152"/>
        <v>-3.428807841573394E-2</v>
      </c>
      <c r="M608" s="20">
        <f t="shared" si="157"/>
        <v>-0.74652903147689831</v>
      </c>
      <c r="N608" s="1">
        <f t="shared" si="162"/>
        <v>174.91340985497138</v>
      </c>
      <c r="P608" s="20">
        <f t="shared" si="163"/>
        <v>-11.216732530034912</v>
      </c>
      <c r="Q608" s="20">
        <f t="shared" si="158"/>
        <v>-0.33739860874546429</v>
      </c>
      <c r="R608" s="20">
        <f t="shared" si="159"/>
        <v>-7.3459309546149427</v>
      </c>
      <c r="S608" s="20">
        <f t="shared" si="164"/>
        <v>87.383255215084375</v>
      </c>
      <c r="T608" s="1">
        <f t="shared" si="165"/>
        <v>0</v>
      </c>
    </row>
    <row r="609" spans="1:20" x14ac:dyDescent="0.25">
      <c r="A609" s="20">
        <f t="shared" si="160"/>
        <v>6.0399999999999157</v>
      </c>
      <c r="C609" s="20">
        <f t="shared" si="150"/>
        <v>20.565524316728517</v>
      </c>
      <c r="D609" s="20">
        <f t="shared" si="153"/>
        <v>9.0848228476383144E-2</v>
      </c>
      <c r="E609" s="20">
        <f t="shared" si="154"/>
        <v>1.9779714451640136</v>
      </c>
      <c r="F609" s="20">
        <f t="shared" si="155"/>
        <v>7.6312511920161849E-2</v>
      </c>
      <c r="G609" s="20">
        <f t="shared" si="156"/>
        <v>1.6614960139377717</v>
      </c>
      <c r="I609" s="20">
        <f t="shared" si="151"/>
        <v>-0.58115099255484604</v>
      </c>
      <c r="K609" s="20">
        <f t="shared" si="161"/>
        <v>17.189309429043654</v>
      </c>
      <c r="L609" s="20">
        <f t="shared" si="152"/>
        <v>-3.4039268838511196E-2</v>
      </c>
      <c r="M609" s="20">
        <f t="shared" si="157"/>
        <v>-0.74111188413915086</v>
      </c>
      <c r="N609" s="1">
        <f t="shared" si="162"/>
        <v>175.08534027571338</v>
      </c>
      <c r="P609" s="20">
        <f t="shared" si="163"/>
        <v>-11.290191839581063</v>
      </c>
      <c r="Q609" s="20">
        <f t="shared" si="158"/>
        <v>-0.3369144760143476</v>
      </c>
      <c r="R609" s="20">
        <f t="shared" si="159"/>
        <v>-7.335390289883466</v>
      </c>
      <c r="S609" s="20">
        <f t="shared" si="164"/>
        <v>87.270720593236291</v>
      </c>
      <c r="T609" s="1">
        <f t="shared" si="165"/>
        <v>0</v>
      </c>
    </row>
    <row r="610" spans="1:20" x14ac:dyDescent="0.25">
      <c r="A610" s="20">
        <f t="shared" si="160"/>
        <v>6.0499999999999154</v>
      </c>
      <c r="C610" s="20">
        <f t="shared" si="150"/>
        <v>20.599703914948979</v>
      </c>
      <c r="D610" s="20">
        <f t="shared" si="153"/>
        <v>9.1150456249641451E-2</v>
      </c>
      <c r="E610" s="20">
        <f t="shared" si="154"/>
        <v>1.9845516274687884</v>
      </c>
      <c r="F610" s="20">
        <f t="shared" si="155"/>
        <v>7.6566383249698819E-2</v>
      </c>
      <c r="G610" s="20">
        <f t="shared" si="156"/>
        <v>1.6670233670737824</v>
      </c>
      <c r="I610" s="20">
        <f t="shared" si="151"/>
        <v>-0.58432483441350003</v>
      </c>
      <c r="K610" s="20">
        <f t="shared" si="161"/>
        <v>17.181898310202261</v>
      </c>
      <c r="L610" s="20">
        <f t="shared" si="152"/>
        <v>-3.3790401779054131E-2</v>
      </c>
      <c r="M610" s="20">
        <f t="shared" si="157"/>
        <v>-0.73569348528312939</v>
      </c>
      <c r="N610" s="1">
        <f t="shared" si="162"/>
        <v>175.25719631440958</v>
      </c>
      <c r="P610" s="20">
        <f t="shared" si="163"/>
        <v>-11.363545742479896</v>
      </c>
      <c r="Q610" s="20">
        <f t="shared" si="158"/>
        <v>-0.33642854337023775</v>
      </c>
      <c r="R610" s="20">
        <f t="shared" si="159"/>
        <v>-7.3248104369744782</v>
      </c>
      <c r="S610" s="20">
        <f t="shared" si="164"/>
        <v>87.157451905325985</v>
      </c>
      <c r="T610" s="1">
        <f t="shared" si="165"/>
        <v>0</v>
      </c>
    </row>
    <row r="611" spans="1:20" x14ac:dyDescent="0.25">
      <c r="A611" s="20">
        <f t="shared" si="160"/>
        <v>6.0599999999999152</v>
      </c>
      <c r="C611" s="20">
        <f t="shared" si="150"/>
        <v>20.634076789353266</v>
      </c>
      <c r="D611" s="20">
        <f t="shared" si="153"/>
        <v>9.1454899183515459E-2</v>
      </c>
      <c r="E611" s="20">
        <f t="shared" si="154"/>
        <v>1.9911800388311662</v>
      </c>
      <c r="F611" s="20">
        <f t="shared" si="155"/>
        <v>7.6822115314152978E-2</v>
      </c>
      <c r="G611" s="20">
        <f t="shared" si="156"/>
        <v>1.6725912326181793</v>
      </c>
      <c r="I611" s="20">
        <f t="shared" si="151"/>
        <v>-0.5874824065440456</v>
      </c>
      <c r="K611" s="20">
        <f t="shared" si="161"/>
        <v>17.174541375349428</v>
      </c>
      <c r="L611" s="20">
        <f t="shared" si="152"/>
        <v>-3.3541469354031177E-2</v>
      </c>
      <c r="M611" s="20">
        <f t="shared" si="157"/>
        <v>-0.73027366327087262</v>
      </c>
      <c r="N611" s="1">
        <f t="shared" si="162"/>
        <v>175.42897851283735</v>
      </c>
      <c r="P611" s="20">
        <f t="shared" si="163"/>
        <v>-11.436793846849641</v>
      </c>
      <c r="Q611" s="20">
        <f t="shared" si="158"/>
        <v>-0.33594081847935692</v>
      </c>
      <c r="R611" s="20">
        <f t="shared" si="159"/>
        <v>-7.3141915627989755</v>
      </c>
      <c r="S611" s="20">
        <f t="shared" si="164"/>
        <v>87.043450207379337</v>
      </c>
      <c r="T611" s="1">
        <f t="shared" si="165"/>
        <v>0</v>
      </c>
    </row>
    <row r="612" spans="1:20" x14ac:dyDescent="0.25">
      <c r="A612" s="20">
        <f t="shared" si="160"/>
        <v>6.069999999999915</v>
      </c>
      <c r="C612" s="20">
        <f t="shared" si="150"/>
        <v>20.668640587494128</v>
      </c>
      <c r="D612" s="20">
        <f t="shared" si="153"/>
        <v>9.1761544952055935E-2</v>
      </c>
      <c r="E612" s="20">
        <f t="shared" si="154"/>
        <v>1.9978564108873489</v>
      </c>
      <c r="F612" s="20">
        <f t="shared" si="155"/>
        <v>7.7079697759726978E-2</v>
      </c>
      <c r="G612" s="20">
        <f t="shared" si="156"/>
        <v>1.6781993851453729</v>
      </c>
      <c r="I612" s="20">
        <f t="shared" si="151"/>
        <v>-0.59062371736686747</v>
      </c>
      <c r="K612" s="20">
        <f t="shared" si="161"/>
        <v>17.167238638716718</v>
      </c>
      <c r="L612" s="20">
        <f t="shared" si="152"/>
        <v>-3.3292463881730988E-2</v>
      </c>
      <c r="M612" s="20">
        <f t="shared" si="157"/>
        <v>-0.7248522508541474</v>
      </c>
      <c r="N612" s="1">
        <f t="shared" si="162"/>
        <v>175.60068741290766</v>
      </c>
      <c r="P612" s="20">
        <f t="shared" si="163"/>
        <v>-11.50993576247763</v>
      </c>
      <c r="Q612" s="20">
        <f t="shared" si="158"/>
        <v>-0.33545130910598064</v>
      </c>
      <c r="R612" s="20">
        <f t="shared" si="159"/>
        <v>-7.3035338364028011</v>
      </c>
      <c r="S612" s="20">
        <f t="shared" si="164"/>
        <v>86.928716559332713</v>
      </c>
      <c r="T612" s="1">
        <f t="shared" si="165"/>
        <v>0</v>
      </c>
    </row>
    <row r="613" spans="1:20" x14ac:dyDescent="0.25">
      <c r="A613" s="20">
        <f t="shared" si="160"/>
        <v>6.0799999999999148</v>
      </c>
      <c r="C613" s="20">
        <f t="shared" si="150"/>
        <v>20.703392966161257</v>
      </c>
      <c r="D613" s="20">
        <f t="shared" si="153"/>
        <v>9.2070381219113762E-2</v>
      </c>
      <c r="E613" s="20">
        <f t="shared" si="154"/>
        <v>2.0045804750514646</v>
      </c>
      <c r="F613" s="20">
        <f t="shared" si="155"/>
        <v>7.7339120224055563E-2</v>
      </c>
      <c r="G613" s="20">
        <f t="shared" si="156"/>
        <v>1.6838475990432302</v>
      </c>
      <c r="I613" s="20">
        <f t="shared" si="151"/>
        <v>-0.59374877684137262</v>
      </c>
      <c r="K613" s="20">
        <f t="shared" si="161"/>
        <v>17.159990116208178</v>
      </c>
      <c r="L613" s="20">
        <f t="shared" si="152"/>
        <v>-3.3043377880809376E-2</v>
      </c>
      <c r="M613" s="20">
        <f t="shared" si="157"/>
        <v>-0.71942908514716697</v>
      </c>
      <c r="N613" s="1">
        <f t="shared" si="162"/>
        <v>175.7723235566823</v>
      </c>
      <c r="P613" s="20">
        <f t="shared" si="163"/>
        <v>-11.582971100841657</v>
      </c>
      <c r="Q613" s="20">
        <f t="shared" si="158"/>
        <v>-0.33496002311066564</v>
      </c>
      <c r="R613" s="20">
        <f t="shared" si="159"/>
        <v>-7.2928374289280571</v>
      </c>
      <c r="S613" s="20">
        <f t="shared" si="164"/>
        <v>86.813252025016126</v>
      </c>
      <c r="T613" s="1">
        <f t="shared" si="165"/>
        <v>0</v>
      </c>
    </row>
    <row r="614" spans="1:20" x14ac:dyDescent="0.25">
      <c r="A614" s="20">
        <f t="shared" si="160"/>
        <v>6.0899999999999146</v>
      </c>
      <c r="C614" s="20">
        <f t="shared" si="150"/>
        <v>20.738331591541595</v>
      </c>
      <c r="D614" s="20">
        <f t="shared" si="153"/>
        <v>9.2381395638543792E-2</v>
      </c>
      <c r="E614" s="20">
        <f t="shared" si="154"/>
        <v>2.011351962520004</v>
      </c>
      <c r="F614" s="20">
        <f t="shared" si="155"/>
        <v>7.7600372336376788E-2</v>
      </c>
      <c r="G614" s="20">
        <f t="shared" si="156"/>
        <v>1.6895356485168036</v>
      </c>
      <c r="I614" s="20">
        <f t="shared" si="151"/>
        <v>-0.59685759643672909</v>
      </c>
      <c r="K614" s="20">
        <f t="shared" si="161"/>
        <v>17.152795825356705</v>
      </c>
      <c r="L614" s="20">
        <f t="shared" si="152"/>
        <v>-3.279420406901426E-2</v>
      </c>
      <c r="M614" s="20">
        <f t="shared" si="157"/>
        <v>-0.71400400759882998</v>
      </c>
      <c r="N614" s="1">
        <f t="shared" si="162"/>
        <v>175.94388748639011</v>
      </c>
      <c r="P614" s="20">
        <f t="shared" si="163"/>
        <v>-11.655899475130939</v>
      </c>
      <c r="Q614" s="20">
        <f t="shared" si="158"/>
        <v>-0.33446696844848939</v>
      </c>
      <c r="R614" s="20">
        <f t="shared" si="159"/>
        <v>-7.2821025135747748</v>
      </c>
      <c r="S614" s="20">
        <f t="shared" si="164"/>
        <v>86.697057672136268</v>
      </c>
      <c r="T614" s="1">
        <f t="shared" si="165"/>
        <v>0</v>
      </c>
    </row>
    <row r="615" spans="1:20" x14ac:dyDescent="0.25">
      <c r="A615" s="20">
        <f t="shared" si="160"/>
        <v>6.0999999999999144</v>
      </c>
      <c r="C615" s="20">
        <f t="shared" si="150"/>
        <v>20.773454139374753</v>
      </c>
      <c r="D615" s="20">
        <f t="shared" si="153"/>
        <v>9.2694575854414235E-2</v>
      </c>
      <c r="E615" s="20">
        <f t="shared" si="154"/>
        <v>2.0181706042763823</v>
      </c>
      <c r="F615" s="20">
        <f t="shared" si="155"/>
        <v>7.7863443717707953E-2</v>
      </c>
      <c r="G615" s="20">
        <f t="shared" si="156"/>
        <v>1.695263307592161</v>
      </c>
      <c r="I615" s="20">
        <f t="shared" si="151"/>
        <v>-0.59995018910273989</v>
      </c>
      <c r="K615" s="20">
        <f t="shared" si="161"/>
        <v>17.145655785280717</v>
      </c>
      <c r="L615" s="20">
        <f t="shared" si="152"/>
        <v>-3.2544935361889973E-2</v>
      </c>
      <c r="M615" s="20">
        <f t="shared" si="157"/>
        <v>-0.70857686396451069</v>
      </c>
      <c r="N615" s="1">
        <f t="shared" si="162"/>
        <v>176.11537974444329</v>
      </c>
      <c r="P615" s="20">
        <f t="shared" si="163"/>
        <v>-11.728720500266686</v>
      </c>
      <c r="Q615" s="20">
        <f t="shared" si="158"/>
        <v>-0.33397215316730011</v>
      </c>
      <c r="R615" s="20">
        <f t="shared" si="159"/>
        <v>-7.2713292655628159</v>
      </c>
      <c r="S615" s="20">
        <f t="shared" si="164"/>
        <v>86.580134572259269</v>
      </c>
      <c r="T615" s="1">
        <f t="shared" si="165"/>
        <v>0</v>
      </c>
    </row>
    <row r="616" spans="1:20" x14ac:dyDescent="0.25">
      <c r="A616" s="20">
        <f t="shared" si="160"/>
        <v>6.1099999999999142</v>
      </c>
      <c r="C616" s="20">
        <f t="shared" si="150"/>
        <v>20.808758295103463</v>
      </c>
      <c r="D616" s="20">
        <f t="shared" si="153"/>
        <v>9.3009909501220428E-2</v>
      </c>
      <c r="E616" s="20">
        <f t="shared" si="154"/>
        <v>2.0250361310955896</v>
      </c>
      <c r="F616" s="20">
        <f t="shared" si="155"/>
        <v>7.8128323981025163E-2</v>
      </c>
      <c r="G616" s="20">
        <f t="shared" si="156"/>
        <v>1.7010303501202955</v>
      </c>
      <c r="I616" s="20">
        <f t="shared" si="151"/>
        <v>-0.60302656924086639</v>
      </c>
      <c r="K616" s="20">
        <f t="shared" si="161"/>
        <v>17.138570016641072</v>
      </c>
      <c r="L616" s="20">
        <f t="shared" si="152"/>
        <v>-3.2295564871460833E-2</v>
      </c>
      <c r="M616" s="20">
        <f t="shared" si="157"/>
        <v>-0.70314750427739681</v>
      </c>
      <c r="N616" s="1">
        <f t="shared" si="162"/>
        <v>176.2868008734529</v>
      </c>
      <c r="P616" s="20">
        <f t="shared" si="163"/>
        <v>-11.801433792922314</v>
      </c>
      <c r="Q616" s="20">
        <f t="shared" si="158"/>
        <v>-0.33347558540598021</v>
      </c>
      <c r="R616" s="20">
        <f t="shared" si="159"/>
        <v>-7.2605178620940611</v>
      </c>
      <c r="S616" s="20">
        <f t="shared" si="164"/>
        <v>86.462483800793322</v>
      </c>
      <c r="T616" s="1">
        <f t="shared" si="165"/>
        <v>0</v>
      </c>
    </row>
    <row r="617" spans="1:20" x14ac:dyDescent="0.25">
      <c r="A617" s="20">
        <f t="shared" si="160"/>
        <v>6.119999999999914</v>
      </c>
      <c r="C617" s="20">
        <f t="shared" si="150"/>
        <v>20.844241754019166</v>
      </c>
      <c r="D617" s="20">
        <f t="shared" si="153"/>
        <v>9.3327384204103192E-2</v>
      </c>
      <c r="E617" s="20">
        <f t="shared" si="154"/>
        <v>2.0319482735489482</v>
      </c>
      <c r="F617" s="20">
        <f t="shared" si="155"/>
        <v>7.8395002731446686E-2</v>
      </c>
      <c r="G617" s="20">
        <f t="shared" si="156"/>
        <v>1.7068365497811167</v>
      </c>
      <c r="I617" s="20">
        <f t="shared" si="151"/>
        <v>-0.60608675267540801</v>
      </c>
      <c r="K617" s="20">
        <f t="shared" si="161"/>
        <v>17.131538541598299</v>
      </c>
      <c r="L617" s="20">
        <f t="shared" si="152"/>
        <v>-3.2046085904895522E-2</v>
      </c>
      <c r="M617" s="20">
        <f t="shared" si="157"/>
        <v>-0.69771578281941049</v>
      </c>
      <c r="N617" s="1">
        <f t="shared" si="162"/>
        <v>176.45815141624411</v>
      </c>
      <c r="P617" s="20">
        <f t="shared" si="163"/>
        <v>-11.874038971543255</v>
      </c>
      <c r="Q617" s="20">
        <f t="shared" si="158"/>
        <v>-0.33297727339272098</v>
      </c>
      <c r="R617" s="20">
        <f t="shared" si="159"/>
        <v>-7.2496684823148483</v>
      </c>
      <c r="S617" s="20">
        <f t="shared" si="164"/>
        <v>86.344106436970989</v>
      </c>
      <c r="T617" s="1">
        <f t="shared" si="165"/>
        <v>0</v>
      </c>
    </row>
    <row r="618" spans="1:20" x14ac:dyDescent="0.25">
      <c r="A618" s="20">
        <f t="shared" si="160"/>
        <v>6.1299999999999137</v>
      </c>
      <c r="C618" s="20">
        <f t="shared" si="150"/>
        <v>20.879902221402862</v>
      </c>
      <c r="D618" s="20">
        <f t="shared" si="153"/>
        <v>9.3646987579072416E-2</v>
      </c>
      <c r="E618" s="20">
        <f t="shared" si="154"/>
        <v>2.0389067620089794</v>
      </c>
      <c r="F618" s="20">
        <f t="shared" si="155"/>
        <v>7.8663469566420827E-2</v>
      </c>
      <c r="G618" s="20">
        <f t="shared" si="156"/>
        <v>1.7126816800875426</v>
      </c>
      <c r="I618" s="20">
        <f t="shared" si="151"/>
        <v>-0.60913075662485161</v>
      </c>
      <c r="K618" s="20">
        <f t="shared" si="161"/>
        <v>17.124561383770104</v>
      </c>
      <c r="L618" s="20">
        <f t="shared" si="152"/>
        <v>-3.1796491963152318E-2</v>
      </c>
      <c r="M618" s="20">
        <f t="shared" si="157"/>
        <v>-0.69228155809171166</v>
      </c>
      <c r="N618" s="1">
        <f t="shared" si="162"/>
        <v>176.62943191587095</v>
      </c>
      <c r="P618" s="20">
        <f t="shared" si="163"/>
        <v>-11.946535656366404</v>
      </c>
      <c r="Q618" s="20">
        <f t="shared" si="158"/>
        <v>-0.33247722544330971</v>
      </c>
      <c r="R618" s="20">
        <f t="shared" si="159"/>
        <v>-7.2387813072786784</v>
      </c>
      <c r="S618" s="20">
        <f t="shared" si="164"/>
        <v>86.22500356383145</v>
      </c>
      <c r="T618" s="1">
        <f t="shared" si="165"/>
        <v>0</v>
      </c>
    </row>
    <row r="619" spans="1:20" x14ac:dyDescent="0.25">
      <c r="A619" s="20">
        <f t="shared" si="160"/>
        <v>6.1399999999999135</v>
      </c>
      <c r="C619" s="20">
        <f t="shared" si="150"/>
        <v>20.915737412661169</v>
      </c>
      <c r="D619" s="20">
        <f t="shared" si="153"/>
        <v>9.3968707233234625E-2</v>
      </c>
      <c r="E619" s="20">
        <f t="shared" si="154"/>
        <v>2.0459113266543572</v>
      </c>
      <c r="F619" s="20">
        <f t="shared" si="155"/>
        <v>7.8933714075917094E-2</v>
      </c>
      <c r="G619" s="20">
        <f t="shared" si="156"/>
        <v>1.7185655143896603</v>
      </c>
      <c r="I619" s="20">
        <f t="shared" si="151"/>
        <v>-0.61215859967339981</v>
      </c>
      <c r="K619" s="20">
        <f t="shared" si="161"/>
        <v>17.117638568189186</v>
      </c>
      <c r="L619" s="20">
        <f t="shared" si="152"/>
        <v>-3.1546776739606298E-2</v>
      </c>
      <c r="M619" s="20">
        <f t="shared" si="157"/>
        <v>-0.68684469278480953</v>
      </c>
      <c r="N619" s="1">
        <f t="shared" si="162"/>
        <v>176.80064291563073</v>
      </c>
      <c r="P619" s="20">
        <f t="shared" si="163"/>
        <v>-12.018923469439191</v>
      </c>
      <c r="Q619" s="20">
        <f t="shared" si="158"/>
        <v>-0.33197544995943046</v>
      </c>
      <c r="R619" s="20">
        <f t="shared" si="159"/>
        <v>-7.2278565199092197</v>
      </c>
      <c r="S619" s="20">
        <f t="shared" si="164"/>
        <v>86.105176268202428</v>
      </c>
      <c r="T619" s="1">
        <f t="shared" si="165"/>
        <v>0</v>
      </c>
    </row>
    <row r="620" spans="1:20" x14ac:dyDescent="0.25">
      <c r="A620" s="20">
        <f t="shared" si="160"/>
        <v>6.1499999999999133</v>
      </c>
      <c r="C620" s="20">
        <f t="shared" si="150"/>
        <v>20.951745053457735</v>
      </c>
      <c r="D620" s="20">
        <f t="shared" si="153"/>
        <v>9.4292530765025348E-2</v>
      </c>
      <c r="E620" s="20">
        <f t="shared" si="154"/>
        <v>2.0529616974749696</v>
      </c>
      <c r="F620" s="20">
        <f t="shared" si="155"/>
        <v>7.9205725842621297E-2</v>
      </c>
      <c r="G620" s="20">
        <f t="shared" si="156"/>
        <v>1.7244878258789744</v>
      </c>
      <c r="I620" s="20">
        <f t="shared" si="151"/>
        <v>-0.61517030174268705</v>
      </c>
      <c r="K620" s="20">
        <f t="shared" si="161"/>
        <v>17.110770121261339</v>
      </c>
      <c r="L620" s="20">
        <f t="shared" si="152"/>
        <v>-3.1296934118659012E-2</v>
      </c>
      <c r="M620" s="20">
        <f t="shared" si="157"/>
        <v>-0.68140505374829119</v>
      </c>
      <c r="N620" s="1">
        <f t="shared" si="162"/>
        <v>176.97178495907798</v>
      </c>
      <c r="P620" s="20">
        <f t="shared" si="163"/>
        <v>-12.091202034638282</v>
      </c>
      <c r="Q620" s="20">
        <f t="shared" si="158"/>
        <v>-0.33147195542697661</v>
      </c>
      <c r="R620" s="20">
        <f t="shared" si="159"/>
        <v>-7.2168943049635663</v>
      </c>
      <c r="S620" s="20">
        <f t="shared" si="164"/>
        <v>85.98462564068204</v>
      </c>
      <c r="T620" s="1">
        <f t="shared" si="165"/>
        <v>0</v>
      </c>
    </row>
    <row r="621" spans="1:20" x14ac:dyDescent="0.25">
      <c r="A621" s="20">
        <f t="shared" si="160"/>
        <v>6.1599999999999131</v>
      </c>
      <c r="C621" s="20">
        <f t="shared" ref="C621:C684" si="166">SQRT((K621^2)+(P621^2))</f>
        <v>20.987922879840021</v>
      </c>
      <c r="D621" s="20">
        <f t="shared" si="153"/>
        <v>9.4618445764445627E-2</v>
      </c>
      <c r="E621" s="20">
        <f t="shared" si="154"/>
        <v>2.0600576042770657</v>
      </c>
      <c r="F621" s="20">
        <f t="shared" si="155"/>
        <v>7.9479494442134327E-2</v>
      </c>
      <c r="G621" s="20">
        <f t="shared" si="156"/>
        <v>1.7304483875927352</v>
      </c>
      <c r="I621" s="20">
        <f t="shared" ref="I621:I684" si="167">ATAN(P621/K621)</f>
        <v>-0.61816588406369344</v>
      </c>
      <c r="K621" s="20">
        <f t="shared" si="161"/>
        <v>17.103956070723857</v>
      </c>
      <c r="L621" s="20">
        <f t="shared" ref="L621:L684" si="168">-(D621*COS(I621))-(F621*SIN(I621))</f>
        <v>-3.104695817433116E-2</v>
      </c>
      <c r="M621" s="20">
        <f t="shared" si="157"/>
        <v>-0.67596251196018209</v>
      </c>
      <c r="N621" s="1">
        <f t="shared" si="162"/>
        <v>177.14285859003789</v>
      </c>
      <c r="P621" s="20">
        <f t="shared" si="163"/>
        <v>-12.163370977687919</v>
      </c>
      <c r="Q621" s="20">
        <f t="shared" si="158"/>
        <v>-0.33096675041437768</v>
      </c>
      <c r="R621" s="20">
        <f t="shared" si="159"/>
        <v>-7.205894848995813</v>
      </c>
      <c r="S621" s="20">
        <f t="shared" si="164"/>
        <v>85.863352775620413</v>
      </c>
      <c r="T621" s="1">
        <f t="shared" si="165"/>
        <v>0</v>
      </c>
    </row>
    <row r="622" spans="1:20" x14ac:dyDescent="0.25">
      <c r="A622" s="20">
        <f t="shared" si="160"/>
        <v>6.1699999999999129</v>
      </c>
      <c r="C622" s="20">
        <f t="shared" si="166"/>
        <v>21.024268638361526</v>
      </c>
      <c r="D622" s="20">
        <f t="shared" si="153"/>
        <v>9.4946439813302863E-2</v>
      </c>
      <c r="E622" s="20">
        <f t="shared" si="154"/>
        <v>2.0671987766885014</v>
      </c>
      <c r="F622" s="20">
        <f t="shared" si="155"/>
        <v>7.9755009443174416E-2</v>
      </c>
      <c r="G622" s="20">
        <f t="shared" si="156"/>
        <v>1.7364469724183413</v>
      </c>
      <c r="I622" s="20">
        <f t="shared" si="167"/>
        <v>-0.62114536914886442</v>
      </c>
      <c r="K622" s="20">
        <f t="shared" si="161"/>
        <v>17.097196445604254</v>
      </c>
      <c r="L622" s="20">
        <f t="shared" si="168"/>
        <v>-3.0796843168839197E-2</v>
      </c>
      <c r="M622" s="20">
        <f t="shared" si="157"/>
        <v>-0.67051694249595462</v>
      </c>
      <c r="N622" s="1">
        <f t="shared" si="162"/>
        <v>177.31386435261953</v>
      </c>
      <c r="P622" s="20">
        <f t="shared" si="163"/>
        <v>-12.235429926177877</v>
      </c>
      <c r="Q622" s="20">
        <f t="shared" si="158"/>
        <v>-0.33045984357093916</v>
      </c>
      <c r="R622" s="20">
        <f t="shared" si="159"/>
        <v>-7.1948583403209048</v>
      </c>
      <c r="S622" s="20">
        <f t="shared" si="164"/>
        <v>85.74135877110109</v>
      </c>
      <c r="T622" s="1">
        <f t="shared" si="165"/>
        <v>0</v>
      </c>
    </row>
    <row r="623" spans="1:20" x14ac:dyDescent="0.25">
      <c r="A623" s="20">
        <f t="shared" si="160"/>
        <v>6.1799999999999127</v>
      </c>
      <c r="C623" s="20">
        <f t="shared" si="166"/>
        <v>21.060780086199536</v>
      </c>
      <c r="D623" s="20">
        <f t="shared" si="153"/>
        <v>9.5276500485455898E-2</v>
      </c>
      <c r="E623" s="20">
        <f t="shared" si="154"/>
        <v>2.0743849441640738</v>
      </c>
      <c r="F623" s="20">
        <f t="shared" si="155"/>
        <v>8.0032260407782954E-2</v>
      </c>
      <c r="G623" s="20">
        <f t="shared" si="156"/>
        <v>1.7424833530978219</v>
      </c>
      <c r="I623" s="20">
        <f t="shared" si="167"/>
        <v>-0.62410878076444454</v>
      </c>
      <c r="K623" s="20">
        <f t="shared" si="161"/>
        <v>17.090491276179296</v>
      </c>
      <c r="L623" s="20">
        <f t="shared" si="168"/>
        <v>-3.0546583551156699E-2</v>
      </c>
      <c r="M623" s="20">
        <f t="shared" si="157"/>
        <v>-0.66506822449720659</v>
      </c>
      <c r="N623" s="1">
        <f t="shared" si="162"/>
        <v>177.48480279122845</v>
      </c>
      <c r="P623" s="20">
        <f t="shared" si="163"/>
        <v>-12.307378509581087</v>
      </c>
      <c r="Q623" s="20">
        <f t="shared" si="158"/>
        <v>-0.32995124362519573</v>
      </c>
      <c r="R623" s="20">
        <f t="shared" si="159"/>
        <v>-7.183784968978788</v>
      </c>
      <c r="S623" s="20">
        <f t="shared" si="164"/>
        <v>85.618644728922305</v>
      </c>
      <c r="T623" s="1">
        <f t="shared" si="165"/>
        <v>0</v>
      </c>
    </row>
    <row r="624" spans="1:20" x14ac:dyDescent="0.25">
      <c r="A624" s="20">
        <f t="shared" si="160"/>
        <v>6.1899999999999125</v>
      </c>
      <c r="C624" s="20">
        <f t="shared" si="166"/>
        <v>21.097454991268449</v>
      </c>
      <c r="D624" s="20">
        <f t="shared" si="153"/>
        <v>9.5608615347064246E-2</v>
      </c>
      <c r="E624" s="20">
        <f t="shared" si="154"/>
        <v>2.0816158359909482</v>
      </c>
      <c r="F624" s="20">
        <f t="shared" si="155"/>
        <v>8.0311236891533966E-2</v>
      </c>
      <c r="G624" s="20">
        <f t="shared" si="156"/>
        <v>1.7485573022323964</v>
      </c>
      <c r="I624" s="20">
        <f t="shared" si="167"/>
        <v>-0.62705614390303444</v>
      </c>
      <c r="K624" s="20">
        <f t="shared" si="161"/>
        <v>17.083840593934326</v>
      </c>
      <c r="L624" s="20">
        <f t="shared" si="168"/>
        <v>-3.0296173955560286E-2</v>
      </c>
      <c r="M624" s="20">
        <f t="shared" si="157"/>
        <v>-0.65961624114000195</v>
      </c>
      <c r="N624" s="1">
        <f t="shared" si="162"/>
        <v>177.655674450579</v>
      </c>
      <c r="P624" s="20">
        <f t="shared" si="163"/>
        <v>-12.379216359270874</v>
      </c>
      <c r="Q624" s="20">
        <f t="shared" si="158"/>
        <v>-0.32944095938327866</v>
      </c>
      <c r="R624" s="20">
        <f t="shared" si="159"/>
        <v>-7.1726749266988605</v>
      </c>
      <c r="S624" s="20">
        <f t="shared" si="164"/>
        <v>85.495211754578051</v>
      </c>
      <c r="T624" s="1">
        <f t="shared" si="165"/>
        <v>0</v>
      </c>
    </row>
    <row r="625" spans="1:20" x14ac:dyDescent="0.25">
      <c r="A625" s="20">
        <f t="shared" si="160"/>
        <v>6.1999999999999122</v>
      </c>
      <c r="C625" s="20">
        <f t="shared" si="166"/>
        <v>21.134291132328691</v>
      </c>
      <c r="D625" s="20">
        <f t="shared" si="153"/>
        <v>9.594277195684088E-2</v>
      </c>
      <c r="E625" s="20">
        <f t="shared" si="154"/>
        <v>2.0888911812941626</v>
      </c>
      <c r="F625" s="20">
        <f t="shared" si="155"/>
        <v>8.0591928443746338E-2</v>
      </c>
      <c r="G625" s="20">
        <f t="shared" si="156"/>
        <v>1.7546685922870964</v>
      </c>
      <c r="I625" s="20">
        <f t="shared" si="167"/>
        <v>-0.62998748475637589</v>
      </c>
      <c r="K625" s="20">
        <f t="shared" si="161"/>
        <v>17.077244431522924</v>
      </c>
      <c r="L625" s="20">
        <f t="shared" si="168"/>
        <v>-3.0045609200161895E-2</v>
      </c>
      <c r="M625" s="20">
        <f t="shared" si="157"/>
        <v>-0.65416087960291525</v>
      </c>
      <c r="N625" s="1">
        <f t="shared" si="162"/>
        <v>177.8264798757063</v>
      </c>
      <c r="P625" s="20">
        <f t="shared" si="163"/>
        <v>-12.450943108537862</v>
      </c>
      <c r="Q625" s="20">
        <f t="shared" si="158"/>
        <v>-0.32892899972729733</v>
      </c>
      <c r="R625" s="20">
        <f t="shared" si="159"/>
        <v>-7.1615284068647362</v>
      </c>
      <c r="S625" s="20">
        <f t="shared" si="164"/>
        <v>85.37106095723901</v>
      </c>
      <c r="T625" s="1">
        <f t="shared" si="165"/>
        <v>0</v>
      </c>
    </row>
    <row r="626" spans="1:20" x14ac:dyDescent="0.25">
      <c r="A626" s="20">
        <f t="shared" si="160"/>
        <v>6.209999999999912</v>
      </c>
      <c r="C626" s="20">
        <f t="shared" si="166"/>
        <v>21.17128629909141</v>
      </c>
      <c r="D626" s="20">
        <f t="shared" si="153"/>
        <v>9.6278957866309675E-2</v>
      </c>
      <c r="E626" s="20">
        <f t="shared" si="154"/>
        <v>2.0962107090422313</v>
      </c>
      <c r="F626" s="20">
        <f t="shared" si="155"/>
        <v>8.0874324607700124E-2</v>
      </c>
      <c r="G626" s="20">
        <f t="shared" si="156"/>
        <v>1.7608169955954742</v>
      </c>
      <c r="I626" s="20">
        <f t="shared" si="167"/>
        <v>-0.63290283068837494</v>
      </c>
      <c r="K626" s="20">
        <f t="shared" si="161"/>
        <v>17.070702822726894</v>
      </c>
      <c r="L626" s="20">
        <f t="shared" si="168"/>
        <v>-2.9794884285427148E-2</v>
      </c>
      <c r="M626" s="20">
        <f t="shared" si="157"/>
        <v>-0.64870203103477353</v>
      </c>
      <c r="N626" s="1">
        <f t="shared" si="162"/>
        <v>177.99721961197753</v>
      </c>
      <c r="P626" s="20">
        <f t="shared" si="163"/>
        <v>-12.522558392606509</v>
      </c>
      <c r="Q626" s="20">
        <f t="shared" si="158"/>
        <v>-0.32841537361373441</v>
      </c>
      <c r="R626" s="20">
        <f t="shared" si="159"/>
        <v>-7.1503456044793037</v>
      </c>
      <c r="S626" s="20">
        <f t="shared" si="164"/>
        <v>85.246193449733298</v>
      </c>
      <c r="T626" s="1">
        <f t="shared" si="165"/>
        <v>0</v>
      </c>
    </row>
    <row r="627" spans="1:20" x14ac:dyDescent="0.25">
      <c r="A627" s="20">
        <f t="shared" si="160"/>
        <v>6.2199999999999118</v>
      </c>
      <c r="C627" s="20">
        <f t="shared" si="166"/>
        <v>21.208438292318856</v>
      </c>
      <c r="D627" s="20">
        <f t="shared" si="153"/>
        <v>9.6617160620065881E-2</v>
      </c>
      <c r="E627" s="20">
        <f t="shared" si="154"/>
        <v>2.1035741480528172</v>
      </c>
      <c r="F627" s="20">
        <f t="shared" si="155"/>
        <v>8.1158414920855348E-2</v>
      </c>
      <c r="G627" s="20">
        <f t="shared" si="156"/>
        <v>1.7670022843643665</v>
      </c>
      <c r="I627" s="20">
        <f t="shared" si="167"/>
        <v>-0.63580221020836691</v>
      </c>
      <c r="K627" s="20">
        <f t="shared" si="161"/>
        <v>17.064215802416545</v>
      </c>
      <c r="L627" s="20">
        <f t="shared" si="168"/>
        <v>-2.9543994392680975E-2</v>
      </c>
      <c r="M627" s="20">
        <f t="shared" si="157"/>
        <v>-0.6432395905221201</v>
      </c>
      <c r="N627" s="1">
        <f t="shared" si="162"/>
        <v>178.16789420510324</v>
      </c>
      <c r="P627" s="20">
        <f t="shared" si="163"/>
        <v>-12.594061848651302</v>
      </c>
      <c r="Q627" s="20">
        <f t="shared" si="158"/>
        <v>-0.32790009007185572</v>
      </c>
      <c r="R627" s="20">
        <f t="shared" si="159"/>
        <v>-7.1391267161301055</v>
      </c>
      <c r="S627" s="20">
        <f t="shared" si="164"/>
        <v>85.120610348527009</v>
      </c>
      <c r="T627" s="1">
        <f t="shared" si="165"/>
        <v>0</v>
      </c>
    </row>
    <row r="628" spans="1:20" x14ac:dyDescent="0.25">
      <c r="A628" s="20">
        <f t="shared" si="160"/>
        <v>6.2299999999999116</v>
      </c>
      <c r="C628" s="20">
        <f t="shared" si="166"/>
        <v>21.245744923920654</v>
      </c>
      <c r="D628" s="20">
        <f t="shared" si="153"/>
        <v>9.6957367756040858E-2</v>
      </c>
      <c r="E628" s="20">
        <f t="shared" si="154"/>
        <v>2.1109812269984949</v>
      </c>
      <c r="F628" s="20">
        <f t="shared" si="155"/>
        <v>8.1444188915074323E-2</v>
      </c>
      <c r="G628" s="20">
        <f t="shared" si="156"/>
        <v>1.7732242306787356</v>
      </c>
      <c r="I628" s="20">
        <f t="shared" si="167"/>
        <v>-0.63868565294463298</v>
      </c>
      <c r="K628" s="20">
        <f t="shared" si="161"/>
        <v>17.057783406511323</v>
      </c>
      <c r="L628" s="20">
        <f t="shared" si="168"/>
        <v>-2.9292934882600659E-2</v>
      </c>
      <c r="M628" s="20">
        <f t="shared" si="157"/>
        <v>-0.63777345705640454</v>
      </c>
      <c r="N628" s="1">
        <f t="shared" si="162"/>
        <v>178.33850420114788</v>
      </c>
      <c r="P628" s="20">
        <f t="shared" si="163"/>
        <v>-12.665453115812603</v>
      </c>
      <c r="Q628" s="20">
        <f t="shared" si="158"/>
        <v>-0.32738315820213459</v>
      </c>
      <c r="R628" s="20">
        <f t="shared" si="159"/>
        <v>-7.1278719399550319</v>
      </c>
      <c r="S628" s="20">
        <f t="shared" si="164"/>
        <v>84.994312773704692</v>
      </c>
      <c r="T628" s="1">
        <f t="shared" si="165"/>
        <v>0</v>
      </c>
    </row>
    <row r="629" spans="1:20" x14ac:dyDescent="0.25">
      <c r="A629" s="20">
        <f t="shared" si="160"/>
        <v>6.2399999999999114</v>
      </c>
      <c r="C629" s="20">
        <f t="shared" si="166"/>
        <v>21.283204017045936</v>
      </c>
      <c r="D629" s="20">
        <f t="shared" si="153"/>
        <v>9.7299566805770094E-2</v>
      </c>
      <c r="E629" s="20">
        <f t="shared" si="154"/>
        <v>2.1184316744125864</v>
      </c>
      <c r="F629" s="20">
        <f t="shared" si="155"/>
        <v>8.173163611684689E-2</v>
      </c>
      <c r="G629" s="20">
        <f t="shared" si="156"/>
        <v>1.779482606506573</v>
      </c>
      <c r="I629" s="20">
        <f t="shared" si="167"/>
        <v>-0.64155318961817043</v>
      </c>
      <c r="K629" s="20">
        <f t="shared" si="161"/>
        <v>17.05140567194076</v>
      </c>
      <c r="L629" s="20">
        <f t="shared" si="168"/>
        <v>-2.9041701293697347E-2</v>
      </c>
      <c r="M629" s="20">
        <f t="shared" si="157"/>
        <v>-0.63230353350092205</v>
      </c>
      <c r="N629" s="1">
        <f t="shared" si="162"/>
        <v>178.50905014654015</v>
      </c>
      <c r="P629" s="20">
        <f t="shared" si="163"/>
        <v>-12.736731835212154</v>
      </c>
      <c r="Q629" s="20">
        <f t="shared" si="158"/>
        <v>-0.32686458717469069</v>
      </c>
      <c r="R629" s="20">
        <f t="shared" si="159"/>
        <v>-7.1165814756083323</v>
      </c>
      <c r="S629" s="20">
        <f t="shared" si="164"/>
        <v>84.867301848949566</v>
      </c>
      <c r="T629" s="1">
        <f t="shared" si="165"/>
        <v>0</v>
      </c>
    </row>
    <row r="630" spans="1:20" x14ac:dyDescent="0.25">
      <c r="A630" s="20">
        <f t="shared" si="160"/>
        <v>6.2499999999999112</v>
      </c>
      <c r="C630" s="20">
        <f t="shared" si="166"/>
        <v>21.320813406171464</v>
      </c>
      <c r="D630" s="20">
        <f t="shared" si="153"/>
        <v>9.764374529466513E-2</v>
      </c>
      <c r="E630" s="20">
        <f t="shared" si="154"/>
        <v>2.1259252186950826</v>
      </c>
      <c r="F630" s="20">
        <f t="shared" si="155"/>
        <v>8.2020746047518703E-2</v>
      </c>
      <c r="G630" s="20">
        <f t="shared" si="156"/>
        <v>1.785777183703869</v>
      </c>
      <c r="I630" s="20">
        <f t="shared" si="167"/>
        <v>-0.64440485201672526</v>
      </c>
      <c r="K630" s="20">
        <f t="shared" si="161"/>
        <v>17.045082636605752</v>
      </c>
      <c r="L630" s="20">
        <f t="shared" si="168"/>
        <v>-2.8790289340786437E-2</v>
      </c>
      <c r="M630" s="20">
        <f t="shared" si="157"/>
        <v>-0.62682972655751013</v>
      </c>
      <c r="N630" s="1">
        <f t="shared" si="162"/>
        <v>178.67953258808288</v>
      </c>
      <c r="P630" s="20">
        <f t="shared" si="163"/>
        <v>-12.807897649968238</v>
      </c>
      <c r="Q630" s="20">
        <f t="shared" si="158"/>
        <v>-0.32634438622774331</v>
      </c>
      <c r="R630" s="20">
        <f t="shared" si="159"/>
        <v>-7.1052555242269388</v>
      </c>
      <c r="S630" s="20">
        <f t="shared" si="164"/>
        <v>84.739578701523655</v>
      </c>
      <c r="T630" s="1">
        <f t="shared" si="165"/>
        <v>0</v>
      </c>
    </row>
    <row r="631" spans="1:20" x14ac:dyDescent="0.25">
      <c r="A631" s="20">
        <f t="shared" si="160"/>
        <v>6.259999999999911</v>
      </c>
      <c r="C631" s="20">
        <f t="shared" si="166"/>
        <v>21.35857093718576</v>
      </c>
      <c r="D631" s="20">
        <f t="shared" si="153"/>
        <v>9.7989890742288435E-2</v>
      </c>
      <c r="E631" s="20">
        <f t="shared" si="154"/>
        <v>2.133461588118625</v>
      </c>
      <c r="F631" s="20">
        <f t="shared" si="155"/>
        <v>8.2311508223522289E-2</v>
      </c>
      <c r="G631" s="20">
        <f t="shared" si="156"/>
        <v>1.792107734019645</v>
      </c>
      <c r="I631" s="20">
        <f t="shared" si="167"/>
        <v>-0.64724067296909071</v>
      </c>
      <c r="K631" s="20">
        <f t="shared" si="161"/>
        <v>17.038814339340178</v>
      </c>
      <c r="L631" s="20">
        <f t="shared" si="168"/>
        <v>-2.8538694913447113E-2</v>
      </c>
      <c r="M631" s="20">
        <f t="shared" si="157"/>
        <v>-0.6213519467330092</v>
      </c>
      <c r="N631" s="1">
        <f t="shared" si="162"/>
        <v>178.84995207296259</v>
      </c>
      <c r="P631" s="20">
        <f t="shared" si="163"/>
        <v>-12.878950205210508</v>
      </c>
      <c r="Q631" s="20">
        <f t="shared" si="158"/>
        <v>-0.32582256466607984</v>
      </c>
      <c r="R631" s="20">
        <f t="shared" si="159"/>
        <v>-7.0938942883971228</v>
      </c>
      <c r="S631" s="20">
        <f t="shared" si="164"/>
        <v>84.611144462247765</v>
      </c>
      <c r="T631" s="1">
        <f t="shared" si="165"/>
        <v>0</v>
      </c>
    </row>
    <row r="632" spans="1:20" x14ac:dyDescent="0.25">
      <c r="A632" s="20">
        <f t="shared" si="160"/>
        <v>6.2699999999999108</v>
      </c>
      <c r="C632" s="20">
        <f t="shared" si="166"/>
        <v>21.396474467469361</v>
      </c>
      <c r="D632" s="20">
        <f t="shared" si="153"/>
        <v>9.8337990662632227E-2</v>
      </c>
      <c r="E632" s="20">
        <f t="shared" si="154"/>
        <v>2.1410405108345794</v>
      </c>
      <c r="F632" s="20">
        <f t="shared" si="155"/>
        <v>8.2603912156611073E-2</v>
      </c>
      <c r="G632" s="20">
        <f t="shared" si="156"/>
        <v>1.7984740291010468</v>
      </c>
      <c r="I632" s="20">
        <f t="shared" si="167"/>
        <v>-0.65006068631967628</v>
      </c>
      <c r="K632" s="20">
        <f t="shared" si="161"/>
        <v>17.032600819872847</v>
      </c>
      <c r="L632" s="20">
        <f t="shared" si="168"/>
        <v>-2.8286914074472487E-2</v>
      </c>
      <c r="M632" s="20">
        <f t="shared" si="157"/>
        <v>-0.61587010830551903</v>
      </c>
      <c r="N632" s="1">
        <f t="shared" si="162"/>
        <v>179.02030914875866</v>
      </c>
      <c r="P632" s="20">
        <f t="shared" si="163"/>
        <v>-12.94988914809448</v>
      </c>
      <c r="Q632" s="20">
        <f t="shared" si="158"/>
        <v>-0.32529913185953907</v>
      </c>
      <c r="R632" s="20">
        <f t="shared" si="159"/>
        <v>-7.0824979721214696</v>
      </c>
      <c r="S632" s="20">
        <f t="shared" si="164"/>
        <v>84.482000265481247</v>
      </c>
      <c r="T632" s="1">
        <f t="shared" si="165"/>
        <v>0</v>
      </c>
    </row>
    <row r="633" spans="1:20" x14ac:dyDescent="0.25">
      <c r="A633" s="20">
        <f t="shared" si="160"/>
        <v>6.2799999999999105</v>
      </c>
      <c r="C633" s="20">
        <f t="shared" si="166"/>
        <v>21.434521865971217</v>
      </c>
      <c r="D633" s="20">
        <f t="shared" si="153"/>
        <v>9.868803256440016E-2</v>
      </c>
      <c r="E633" s="20">
        <f t="shared" si="154"/>
        <v>2.1486617148791676</v>
      </c>
      <c r="F633" s="20">
        <f t="shared" si="155"/>
        <v>8.2897947354096127E-2</v>
      </c>
      <c r="G633" s="20">
        <f t="shared" si="156"/>
        <v>1.8048758404985006</v>
      </c>
      <c r="I633" s="20">
        <f t="shared" si="167"/>
        <v>-0.65286492690335396</v>
      </c>
      <c r="K633" s="20">
        <f t="shared" si="161"/>
        <v>17.026442118789792</v>
      </c>
      <c r="L633" s="20">
        <f t="shared" si="168"/>
        <v>-2.803494305830985E-2</v>
      </c>
      <c r="M633" s="20">
        <f t="shared" si="157"/>
        <v>-0.61038412929043873</v>
      </c>
      <c r="N633" s="1">
        <f t="shared" si="162"/>
        <v>179.190604363452</v>
      </c>
      <c r="P633" s="20">
        <f t="shared" si="163"/>
        <v>-13.020714127815694</v>
      </c>
      <c r="Q633" s="20">
        <f t="shared" si="158"/>
        <v>-0.32477409724150907</v>
      </c>
      <c r="R633" s="20">
        <f t="shared" si="159"/>
        <v>-7.0710667807861762</v>
      </c>
      <c r="S633" s="20">
        <f t="shared" si="164"/>
        <v>84.352147249101691</v>
      </c>
      <c r="T633" s="1">
        <f t="shared" si="165"/>
        <v>0</v>
      </c>
    </row>
    <row r="634" spans="1:20" x14ac:dyDescent="0.25">
      <c r="A634" s="20">
        <f t="shared" si="160"/>
        <v>6.2899999999999103</v>
      </c>
      <c r="C634" s="20">
        <f t="shared" si="166"/>
        <v>21.472711013281323</v>
      </c>
      <c r="D634" s="20">
        <f t="shared" si="153"/>
        <v>9.9040003951292255E-2</v>
      </c>
      <c r="E634" s="20">
        <f t="shared" si="154"/>
        <v>2.1563249281796701</v>
      </c>
      <c r="F634" s="20">
        <f t="shared" si="155"/>
        <v>8.3193603319085499E-2</v>
      </c>
      <c r="G634" s="20">
        <f t="shared" si="156"/>
        <v>1.8113129396709231</v>
      </c>
      <c r="I634" s="20">
        <f t="shared" si="167"/>
        <v>-0.65565343052058322</v>
      </c>
      <c r="K634" s="20">
        <f t="shared" si="161"/>
        <v>17.020338277496887</v>
      </c>
      <c r="L634" s="20">
        <f t="shared" si="168"/>
        <v>-2.7782778269492117E-2</v>
      </c>
      <c r="M634" s="20">
        <f t="shared" si="157"/>
        <v>-0.60489393140631653</v>
      </c>
      <c r="N634" s="1">
        <f t="shared" si="162"/>
        <v>179.36083826543344</v>
      </c>
      <c r="P634" s="20">
        <f t="shared" si="163"/>
        <v>-13.091424795623556</v>
      </c>
      <c r="Q634" s="20">
        <f t="shared" si="158"/>
        <v>-0.32424747030744039</v>
      </c>
      <c r="R634" s="20">
        <f t="shared" si="159"/>
        <v>-7.0596009211286823</v>
      </c>
      <c r="S634" s="20">
        <f t="shared" si="164"/>
        <v>84.221586554484489</v>
      </c>
      <c r="T634" s="1">
        <f t="shared" si="165"/>
        <v>0</v>
      </c>
    </row>
    <row r="635" spans="1:20" x14ac:dyDescent="0.25">
      <c r="A635" s="20">
        <f t="shared" si="160"/>
        <v>6.2999999999999101</v>
      </c>
      <c r="C635" s="20">
        <f t="shared" si="166"/>
        <v>21.51103980169966</v>
      </c>
      <c r="D635" s="20">
        <f t="shared" si="153"/>
        <v>9.9393892322293051E-2</v>
      </c>
      <c r="E635" s="20">
        <f t="shared" si="154"/>
        <v>2.1640298785607022</v>
      </c>
      <c r="F635" s="20">
        <f t="shared" si="155"/>
        <v>8.3490869550726154E-2</v>
      </c>
      <c r="G635" s="20">
        <f t="shared" si="156"/>
        <v>1.8177850979909898</v>
      </c>
      <c r="I635" s="20">
        <f t="shared" si="167"/>
        <v>-0.6584262339128194</v>
      </c>
      <c r="K635" s="20">
        <f t="shared" si="161"/>
        <v>17.014289338182824</v>
      </c>
      <c r="L635" s="20">
        <f t="shared" si="168"/>
        <v>-2.7530416281061433E-2</v>
      </c>
      <c r="M635" s="20">
        <f t="shared" si="157"/>
        <v>-0.59939944004052759</v>
      </c>
      <c r="N635" s="1">
        <f t="shared" si="162"/>
        <v>179.53101140351183</v>
      </c>
      <c r="P635" s="20">
        <f t="shared" si="163"/>
        <v>-13.162020804834842</v>
      </c>
      <c r="Q635" s="20">
        <f t="shared" si="158"/>
        <v>-0.32371926061337497</v>
      </c>
      <c r="R635" s="20">
        <f t="shared" si="159"/>
        <v>-7.0481006012056389</v>
      </c>
      <c r="S635" s="20">
        <f t="shared" si="164"/>
        <v>84.090319326482188</v>
      </c>
      <c r="T635" s="1">
        <f t="shared" si="165"/>
        <v>0</v>
      </c>
    </row>
    <row r="636" spans="1:20" x14ac:dyDescent="0.25">
      <c r="A636" s="20">
        <f t="shared" si="160"/>
        <v>6.3099999999999099</v>
      </c>
      <c r="C636" s="20">
        <f t="shared" si="166"/>
        <v>21.549506135301502</v>
      </c>
      <c r="D636" s="20">
        <f t="shared" si="153"/>
        <v>9.9749685171962796E-2</v>
      </c>
      <c r="E636" s="20">
        <f t="shared" si="154"/>
        <v>2.1717762937505509</v>
      </c>
      <c r="F636" s="20">
        <f t="shared" si="155"/>
        <v>8.3789735544448754E-2</v>
      </c>
      <c r="G636" s="20">
        <f t="shared" si="156"/>
        <v>1.8242920867504628</v>
      </c>
      <c r="I636" s="20">
        <f t="shared" si="167"/>
        <v>-0.66118337473821109</v>
      </c>
      <c r="K636" s="20">
        <f t="shared" si="161"/>
        <v>17.008295343782418</v>
      </c>
      <c r="L636" s="20">
        <f t="shared" si="168"/>
        <v>-2.727785383298445E-2</v>
      </c>
      <c r="M636" s="20">
        <f t="shared" si="157"/>
        <v>-0.59390058421477143</v>
      </c>
      <c r="N636" s="1">
        <f t="shared" si="162"/>
        <v>179.70112432692167</v>
      </c>
      <c r="P636" s="20">
        <f t="shared" si="163"/>
        <v>-13.232501810846898</v>
      </c>
      <c r="Q636" s="20">
        <f t="shared" si="158"/>
        <v>-0.32318947777448864</v>
      </c>
      <c r="R636" s="20">
        <f t="shared" si="159"/>
        <v>-7.0365660303611728</v>
      </c>
      <c r="S636" s="20">
        <f t="shared" si="164"/>
        <v>83.958346713403785</v>
      </c>
      <c r="T636" s="1">
        <f t="shared" si="165"/>
        <v>0</v>
      </c>
    </row>
    <row r="637" spans="1:20" x14ac:dyDescent="0.25">
      <c r="A637" s="20">
        <f t="shared" si="160"/>
        <v>6.3199999999999097</v>
      </c>
      <c r="C637" s="20">
        <f t="shared" si="166"/>
        <v>21.588107929999147</v>
      </c>
      <c r="D637" s="20">
        <f t="shared" si="153"/>
        <v>0.10010736999073144</v>
      </c>
      <c r="E637" s="20">
        <f t="shared" si="154"/>
        <v>2.1795639013875778</v>
      </c>
      <c r="F637" s="20">
        <f t="shared" si="155"/>
        <v>8.4090190792214414E-2</v>
      </c>
      <c r="G637" s="20">
        <f t="shared" si="156"/>
        <v>1.8308336771655653</v>
      </c>
      <c r="I637" s="20">
        <f t="shared" si="167"/>
        <v>-0.66392489154758638</v>
      </c>
      <c r="K637" s="20">
        <f t="shared" si="161"/>
        <v>17.00235633794027</v>
      </c>
      <c r="L637" s="20">
        <f t="shared" si="168"/>
        <v>-2.7025087830560887E-2</v>
      </c>
      <c r="M637" s="20">
        <f t="shared" si="157"/>
        <v>-0.58839729655042217</v>
      </c>
      <c r="N637" s="1">
        <f t="shared" si="162"/>
        <v>179.87117758533029</v>
      </c>
      <c r="P637" s="20">
        <f t="shared" si="163"/>
        <v>-13.30286747115051</v>
      </c>
      <c r="Q637" s="20">
        <f t="shared" si="158"/>
        <v>-0.32265813146365052</v>
      </c>
      <c r="R637" s="20">
        <f t="shared" si="159"/>
        <v>-7.0249974191955262</v>
      </c>
      <c r="S637" s="20">
        <f t="shared" si="164"/>
        <v>83.825669866993792</v>
      </c>
      <c r="T637" s="1">
        <f t="shared" si="165"/>
        <v>0</v>
      </c>
    </row>
    <row r="638" spans="1:20" x14ac:dyDescent="0.25">
      <c r="A638" s="20">
        <f t="shared" si="160"/>
        <v>6.3299999999999095</v>
      </c>
      <c r="C638" s="20">
        <f t="shared" si="166"/>
        <v>21.626843113600145</v>
      </c>
      <c r="D638" s="20">
        <f t="shared" si="153"/>
        <v>0.10046693426519553</v>
      </c>
      <c r="E638" s="20">
        <f t="shared" si="154"/>
        <v>2.1873924290266826</v>
      </c>
      <c r="F638" s="20">
        <f t="shared" si="155"/>
        <v>8.4392224782764244E-2</v>
      </c>
      <c r="G638" s="20">
        <f t="shared" si="156"/>
        <v>1.8374096403824134</v>
      </c>
      <c r="I638" s="20">
        <f t="shared" si="167"/>
        <v>-0.66665082376073337</v>
      </c>
      <c r="K638" s="20">
        <f t="shared" si="161"/>
        <v>16.996472364974768</v>
      </c>
      <c r="L638" s="20">
        <f t="shared" si="168"/>
        <v>-2.6772115342825073E-2</v>
      </c>
      <c r="M638" s="20">
        <f t="shared" si="157"/>
        <v>-0.58288951323372684</v>
      </c>
      <c r="N638" s="1">
        <f t="shared" si="162"/>
        <v>180.04117172884486</v>
      </c>
      <c r="P638" s="20">
        <f t="shared" si="163"/>
        <v>-13.373117445342466</v>
      </c>
      <c r="Q638" s="20">
        <f t="shared" si="158"/>
        <v>-0.32212523140999672</v>
      </c>
      <c r="R638" s="20">
        <f t="shared" si="159"/>
        <v>-7.0133949795340023</v>
      </c>
      <c r="S638" s="20">
        <f t="shared" si="164"/>
        <v>83.692289942411321</v>
      </c>
      <c r="T638" s="1">
        <f t="shared" si="165"/>
        <v>0</v>
      </c>
    </row>
    <row r="639" spans="1:20" x14ac:dyDescent="0.25">
      <c r="A639" s="20">
        <f t="shared" si="160"/>
        <v>6.3399999999999093</v>
      </c>
      <c r="C639" s="20">
        <f t="shared" si="166"/>
        <v>21.665709625862103</v>
      </c>
      <c r="D639" s="20">
        <f t="shared" si="153"/>
        <v>0.10082836547841774</v>
      </c>
      <c r="E639" s="20">
        <f t="shared" si="154"/>
        <v>2.1952616041458248</v>
      </c>
      <c r="F639" s="20">
        <f t="shared" si="155"/>
        <v>8.4695827001870894E-2</v>
      </c>
      <c r="G639" s="20">
        <f t="shared" si="156"/>
        <v>1.8440197474824929</v>
      </c>
      <c r="I639" s="20">
        <f t="shared" si="167"/>
        <v>-0.66936121164297724</v>
      </c>
      <c r="K639" s="20">
        <f t="shared" si="161"/>
        <v>16.990643469842432</v>
      </c>
      <c r="L639" s="20">
        <f t="shared" si="168"/>
        <v>-2.6518933600941375E-2</v>
      </c>
      <c r="M639" s="20">
        <f t="shared" si="157"/>
        <v>-0.57737717398087041</v>
      </c>
      <c r="N639" s="1">
        <f t="shared" si="162"/>
        <v>180.21110730801894</v>
      </c>
      <c r="P639" s="20">
        <f t="shared" si="163"/>
        <v>-13.443251395137805</v>
      </c>
      <c r="Q639" s="20">
        <f t="shared" si="158"/>
        <v>-0.32159078739751934</v>
      </c>
      <c r="R639" s="20">
        <f t="shared" si="159"/>
        <v>-7.001758924396241</v>
      </c>
      <c r="S639" s="20">
        <f t="shared" si="164"/>
        <v>83.558208098208908</v>
      </c>
      <c r="T639" s="1">
        <f t="shared" si="165"/>
        <v>0</v>
      </c>
    </row>
    <row r="640" spans="1:20" x14ac:dyDescent="0.25">
      <c r="A640" s="20">
        <f t="shared" si="160"/>
        <v>6.3499999999999091</v>
      </c>
      <c r="C640" s="20">
        <f t="shared" si="166"/>
        <v>21.70470541854413</v>
      </c>
      <c r="D640" s="20">
        <f t="shared" si="153"/>
        <v>0.10119165111022951</v>
      </c>
      <c r="E640" s="20">
        <f t="shared" si="154"/>
        <v>2.2031711541526131</v>
      </c>
      <c r="F640" s="20">
        <f t="shared" si="155"/>
        <v>8.5000986932592795E-2</v>
      </c>
      <c r="G640" s="20">
        <f t="shared" si="156"/>
        <v>1.8506637694881951</v>
      </c>
      <c r="I640" s="20">
        <f t="shared" si="167"/>
        <v>-0.67205609628205476</v>
      </c>
      <c r="K640" s="20">
        <f t="shared" si="161"/>
        <v>16.984869698102624</v>
      </c>
      <c r="L640" s="20">
        <f t="shared" si="168"/>
        <v>-2.6265539996594117E-2</v>
      </c>
      <c r="M640" s="20">
        <f t="shared" si="157"/>
        <v>-0.57186022200292008</v>
      </c>
      <c r="N640" s="1">
        <f t="shared" si="162"/>
        <v>180.38098487385867</v>
      </c>
      <c r="P640" s="20">
        <f t="shared" si="163"/>
        <v>-13.513268984381767</v>
      </c>
      <c r="Q640" s="20">
        <f t="shared" si="158"/>
        <v>-0.32105480926367103</v>
      </c>
      <c r="R640" s="20">
        <f t="shared" si="159"/>
        <v>-6.9900894679658405</v>
      </c>
      <c r="S640" s="20">
        <f t="shared" si="164"/>
        <v>83.42342549631131</v>
      </c>
      <c r="T640" s="1">
        <f t="shared" si="165"/>
        <v>0</v>
      </c>
    </row>
    <row r="641" spans="1:20" x14ac:dyDescent="0.25">
      <c r="A641" s="20">
        <f t="shared" si="160"/>
        <v>6.3599999999999088</v>
      </c>
      <c r="C641" s="20">
        <f t="shared" si="166"/>
        <v>21.74382845545496</v>
      </c>
      <c r="D641" s="20">
        <f t="shared" si="153"/>
        <v>0.10155677863753583</v>
      </c>
      <c r="E641" s="20">
        <f t="shared" si="154"/>
        <v>2.2111208063909391</v>
      </c>
      <c r="F641" s="20">
        <f t="shared" si="155"/>
        <v>8.5307694055530098E-2</v>
      </c>
      <c r="G641" s="20">
        <f t="shared" si="156"/>
        <v>1.8573414773683889</v>
      </c>
      <c r="I641" s="20">
        <f t="shared" si="167"/>
        <v>-0.67473551956529132</v>
      </c>
      <c r="K641" s="20">
        <f t="shared" si="161"/>
        <v>16.979151095882596</v>
      </c>
      <c r="L641" s="20">
        <f t="shared" si="168"/>
        <v>-2.6011932080372203E-2</v>
      </c>
      <c r="M641" s="20">
        <f t="shared" si="157"/>
        <v>-0.56633860397065539</v>
      </c>
      <c r="N641" s="1">
        <f t="shared" si="162"/>
        <v>180.55080497782859</v>
      </c>
      <c r="P641" s="20">
        <f t="shared" si="163"/>
        <v>-13.583169879061426</v>
      </c>
      <c r="Q641" s="20">
        <f t="shared" si="158"/>
        <v>-0.32051730689798458</v>
      </c>
      <c r="R641" s="20">
        <f t="shared" si="159"/>
        <v>-6.9783868255603005</v>
      </c>
      <c r="S641" s="20">
        <f t="shared" si="164"/>
        <v>83.28794330199409</v>
      </c>
      <c r="T641" s="1">
        <f t="shared" si="165"/>
        <v>0</v>
      </c>
    </row>
    <row r="642" spans="1:20" x14ac:dyDescent="0.25">
      <c r="A642" s="20">
        <f t="shared" si="160"/>
        <v>6.3699999999999086</v>
      </c>
      <c r="C642" s="20">
        <f t="shared" si="166"/>
        <v>21.783076712497841</v>
      </c>
      <c r="D642" s="20">
        <f t="shared" si="153"/>
        <v>0.10192373553462247</v>
      </c>
      <c r="E642" s="20">
        <f t="shared" si="154"/>
        <v>2.2191102881476699</v>
      </c>
      <c r="F642" s="20">
        <f t="shared" si="155"/>
        <v>8.5615937849082877E-2</v>
      </c>
      <c r="G642" s="20">
        <f t="shared" si="156"/>
        <v>1.8640526420440426</v>
      </c>
      <c r="I642" s="20">
        <f t="shared" si="167"/>
        <v>-0.67739952415707838</v>
      </c>
      <c r="K642" s="20">
        <f t="shared" si="161"/>
        <v>16.973487709842889</v>
      </c>
      <c r="L642" s="20">
        <f t="shared" si="168"/>
        <v>-2.5758107560148874E-2</v>
      </c>
      <c r="M642" s="20">
        <f t="shared" si="157"/>
        <v>-0.5608122699792919</v>
      </c>
      <c r="N642" s="1">
        <f t="shared" si="162"/>
        <v>180.7205681718572</v>
      </c>
      <c r="P642" s="20">
        <f t="shared" si="163"/>
        <v>-13.65295374731703</v>
      </c>
      <c r="Q642" s="20">
        <f t="shared" si="158"/>
        <v>-0.31997829024070834</v>
      </c>
      <c r="R642" s="20">
        <f t="shared" si="159"/>
        <v>-6.9666512136013141</v>
      </c>
      <c r="S642" s="20">
        <f t="shared" si="164"/>
        <v>83.151762683862202</v>
      </c>
      <c r="T642" s="1">
        <f t="shared" si="165"/>
        <v>0</v>
      </c>
    </row>
    <row r="643" spans="1:20" x14ac:dyDescent="0.25">
      <c r="A643" s="20">
        <f t="shared" si="160"/>
        <v>6.3799999999999084</v>
      </c>
      <c r="C643" s="20">
        <f t="shared" si="166"/>
        <v>21.822448177712289</v>
      </c>
      <c r="D643" s="20">
        <f t="shared" si="153"/>
        <v>0.10229250927346628</v>
      </c>
      <c r="E643" s="20">
        <f t="shared" si="154"/>
        <v>2.2271393266594011</v>
      </c>
      <c r="F643" s="20">
        <f t="shared" si="155"/>
        <v>8.5925707789711675E-2</v>
      </c>
      <c r="G643" s="20">
        <f t="shared" si="156"/>
        <v>1.8707970343938967</v>
      </c>
      <c r="I643" s="20">
        <f t="shared" si="167"/>
        <v>-0.68004815347665692</v>
      </c>
      <c r="K643" s="20">
        <f t="shared" si="161"/>
        <v>16.967879587143095</v>
      </c>
      <c r="L643" s="20">
        <f t="shared" si="168"/>
        <v>-2.5504064299457563E-2</v>
      </c>
      <c r="M643" s="20">
        <f t="shared" si="157"/>
        <v>-0.55528117351311912</v>
      </c>
      <c r="N643" s="1">
        <f t="shared" si="162"/>
        <v>180.89027500834212</v>
      </c>
      <c r="P643" s="20">
        <f t="shared" si="163"/>
        <v>-13.722620259453043</v>
      </c>
      <c r="Q643" s="20">
        <f t="shared" si="158"/>
        <v>-0.31943776928145584</v>
      </c>
      <c r="R643" s="20">
        <f t="shared" si="159"/>
        <v>-6.9548828495853661</v>
      </c>
      <c r="S643" s="20">
        <f t="shared" si="164"/>
        <v>83.01488481382836</v>
      </c>
      <c r="T643" s="1">
        <f t="shared" si="165"/>
        <v>0</v>
      </c>
    </row>
    <row r="644" spans="1:20" x14ac:dyDescent="0.25">
      <c r="A644" s="20">
        <f t="shared" si="160"/>
        <v>6.3899999999999082</v>
      </c>
      <c r="C644" s="20">
        <f t="shared" si="166"/>
        <v>21.861940851312699</v>
      </c>
      <c r="D644" s="20">
        <f t="shared" si="153"/>
        <v>0.10266308732404718</v>
      </c>
      <c r="E644" s="20">
        <f t="shared" si="154"/>
        <v>2.2352076491192507</v>
      </c>
      <c r="F644" s="20">
        <f t="shared" si="155"/>
        <v>8.6236993352199628E-2</v>
      </c>
      <c r="G644" s="20">
        <f t="shared" si="156"/>
        <v>1.8775744252601705</v>
      </c>
      <c r="I644" s="20">
        <f t="shared" si="167"/>
        <v>-0.68268145167620586</v>
      </c>
      <c r="K644" s="20">
        <f t="shared" si="161"/>
        <v>16.962326775407963</v>
      </c>
      <c r="L644" s="20">
        <f t="shared" si="168"/>
        <v>-2.5249800315863706E-2</v>
      </c>
      <c r="M644" s="20">
        <f t="shared" si="157"/>
        <v>-0.54974527141005236</v>
      </c>
      <c r="N644" s="1">
        <f t="shared" si="162"/>
        <v>181.05992604015486</v>
      </c>
      <c r="P644" s="20">
        <f t="shared" si="163"/>
        <v>-13.792169087948897</v>
      </c>
      <c r="Q644" s="20">
        <f t="shared" si="158"/>
        <v>-0.31889575405787185</v>
      </c>
      <c r="R644" s="20">
        <f t="shared" si="159"/>
        <v>-6.9430819520546887</v>
      </c>
      <c r="S644" s="20">
        <f t="shared" si="164"/>
        <v>82.877310867091353</v>
      </c>
      <c r="T644" s="1">
        <f t="shared" si="165"/>
        <v>0</v>
      </c>
    </row>
    <row r="645" spans="1:20" x14ac:dyDescent="0.25">
      <c r="A645" s="20">
        <f t="shared" si="160"/>
        <v>6.399999999999908</v>
      </c>
      <c r="C645" s="20">
        <f t="shared" si="166"/>
        <v>21.901552745723929</v>
      </c>
      <c r="D645" s="20">
        <f t="shared" ref="D645:D708" si="169">0.5*$W$5*$W$10*$W$9*C645^2</f>
        <v>0.10303545715466268</v>
      </c>
      <c r="E645" s="20">
        <f t="shared" ref="E645:E708" si="170">D645/$W$4</f>
        <v>2.2433149826837075</v>
      </c>
      <c r="F645" s="20">
        <f t="shared" ref="F645:F708" si="171">0.5*$W$6*$W$10*$W$9*C645^2</f>
        <v>8.6549784009916655E-2</v>
      </c>
      <c r="G645" s="20">
        <f t="shared" ref="G645:G708" si="172">F645/$W$4</f>
        <v>1.8843845854543144</v>
      </c>
      <c r="I645" s="20">
        <f t="shared" si="167"/>
        <v>-0.68529946361923633</v>
      </c>
      <c r="K645" s="20">
        <f t="shared" si="161"/>
        <v>16.956829322693864</v>
      </c>
      <c r="L645" s="20">
        <f t="shared" si="168"/>
        <v>-2.4995313779333388E-2</v>
      </c>
      <c r="M645" s="20">
        <f t="shared" ref="M645:M708" si="173">L645/$W$4</f>
        <v>-0.5442045238261134</v>
      </c>
      <c r="N645" s="1">
        <f t="shared" si="162"/>
        <v>181.22952182064537</v>
      </c>
      <c r="P645" s="20">
        <f t="shared" si="163"/>
        <v>-13.861599907469444</v>
      </c>
      <c r="Q645" s="20">
        <f t="shared" ref="Q645:Q708" si="174">-(D645*SIN(I645))+(F645*COS(I645))-($W$4*9.81)</f>
        <v>-0.31835225465431299</v>
      </c>
      <c r="R645" s="20">
        <f t="shared" ref="R645:R708" si="175">Q645/$W$4</f>
        <v>-6.931248740568539</v>
      </c>
      <c r="S645" s="20">
        <f t="shared" si="164"/>
        <v>82.739042022114262</v>
      </c>
      <c r="T645" s="1">
        <f t="shared" si="165"/>
        <v>0</v>
      </c>
    </row>
    <row r="646" spans="1:20" x14ac:dyDescent="0.25">
      <c r="A646" s="20">
        <f t="shared" ref="A646:A709" si="176">A645+$W$18</f>
        <v>6.4099999999999078</v>
      </c>
      <c r="C646" s="20">
        <f t="shared" si="166"/>
        <v>21.941281885613911</v>
      </c>
      <c r="D646" s="20">
        <f t="shared" si="169"/>
        <v>0.10340960623224453</v>
      </c>
      <c r="E646" s="20">
        <f t="shared" si="170"/>
        <v>2.2514610544795239</v>
      </c>
      <c r="F646" s="20">
        <f t="shared" si="171"/>
        <v>8.6864069235085412E-2</v>
      </c>
      <c r="G646" s="20">
        <f t="shared" si="172"/>
        <v>1.8912272857628003</v>
      </c>
      <c r="I646" s="20">
        <f t="shared" si="167"/>
        <v>-0.68790223485929536</v>
      </c>
      <c r="K646" s="20">
        <f t="shared" ref="K646:K709" si="177">K645+(M645*$W$18)</f>
        <v>16.951387277455602</v>
      </c>
      <c r="L646" s="20">
        <f t="shared" si="168"/>
        <v>-2.4740603010598987E-2</v>
      </c>
      <c r="M646" s="20">
        <f t="shared" si="173"/>
        <v>-0.53865889419984736</v>
      </c>
      <c r="N646" s="1">
        <f t="shared" ref="N646:N709" si="178">N645+(K645*$W$18)+(0.5*M645*$W$18^2)</f>
        <v>181.39906290364613</v>
      </c>
      <c r="P646" s="20">
        <f t="shared" ref="P646:P709" si="179">P645+(R645*$W$18)</f>
        <v>-13.930912394875129</v>
      </c>
      <c r="Q646" s="20">
        <f t="shared" si="174"/>
        <v>-0.31780728120054397</v>
      </c>
      <c r="R646" s="20">
        <f t="shared" si="175"/>
        <v>-6.919383435674809</v>
      </c>
      <c r="S646" s="20">
        <f t="shared" ref="S646:S709" si="180">S645+(P645*$W$18)+(0.5*R645*$W$18^2)</f>
        <v>82.600079460602544</v>
      </c>
      <c r="T646" s="1">
        <f t="shared" si="165"/>
        <v>0</v>
      </c>
    </row>
    <row r="647" spans="1:20" x14ac:dyDescent="0.25">
      <c r="A647" s="20">
        <f t="shared" si="176"/>
        <v>6.4199999999999076</v>
      </c>
      <c r="C647" s="20">
        <f t="shared" si="166"/>
        <v>21.981126307923365</v>
      </c>
      <c r="D647" s="20">
        <f t="shared" si="169"/>
        <v>0.10378552202267774</v>
      </c>
      <c r="E647" s="20">
        <f t="shared" si="170"/>
        <v>2.259645591610663</v>
      </c>
      <c r="F647" s="20">
        <f t="shared" si="171"/>
        <v>8.7179838499049297E-2</v>
      </c>
      <c r="G647" s="20">
        <f t="shared" si="172"/>
        <v>1.8981022969529566</v>
      </c>
      <c r="I647" s="20">
        <f t="shared" si="167"/>
        <v>-0.69048981161897549</v>
      </c>
      <c r="K647" s="20">
        <f t="shared" si="177"/>
        <v>16.946000688513603</v>
      </c>
      <c r="L647" s="20">
        <f t="shared" si="168"/>
        <v>-2.4485666479522598E-2</v>
      </c>
      <c r="M647" s="20">
        <f t="shared" si="173"/>
        <v>-0.53310834921669059</v>
      </c>
      <c r="N647" s="1">
        <f t="shared" si="178"/>
        <v>181.56854984347598</v>
      </c>
      <c r="P647" s="20">
        <f t="shared" si="179"/>
        <v>-14.000106229231877</v>
      </c>
      <c r="Q647" s="20">
        <f t="shared" si="174"/>
        <v>-0.31726084387044839</v>
      </c>
      <c r="R647" s="20">
        <f t="shared" si="175"/>
        <v>-6.9074862588819599</v>
      </c>
      <c r="S647" s="20">
        <f t="shared" si="180"/>
        <v>82.460424367482005</v>
      </c>
      <c r="T647" s="1">
        <f t="shared" ref="T647:T710" si="181">IF(AND(S646&gt;0,S647&lt;0),(-1*S646*(N647-N646)/(S647-S646)+N646),0)</f>
        <v>0</v>
      </c>
    </row>
    <row r="648" spans="1:20" x14ac:dyDescent="0.25">
      <c r="A648" s="20">
        <f t="shared" si="176"/>
        <v>6.4299999999999073</v>
      </c>
      <c r="C648" s="20">
        <f t="shared" si="166"/>
        <v>22.021084061892644</v>
      </c>
      <c r="D648" s="20">
        <f t="shared" si="169"/>
        <v>0.10416319199112122</v>
      </c>
      <c r="E648" s="20">
        <f t="shared" si="170"/>
        <v>2.2678683211652779</v>
      </c>
      <c r="F648" s="20">
        <f t="shared" si="171"/>
        <v>8.7497081272541827E-2</v>
      </c>
      <c r="G648" s="20">
        <f t="shared" si="172"/>
        <v>1.9050093897788336</v>
      </c>
      <c r="I648" s="20">
        <f t="shared" si="167"/>
        <v>-0.69306224076923539</v>
      </c>
      <c r="K648" s="20">
        <f t="shared" si="177"/>
        <v>16.940669605021437</v>
      </c>
      <c r="L648" s="20">
        <f t="shared" si="168"/>
        <v>-2.4230502803457142E-2</v>
      </c>
      <c r="M648" s="20">
        <f t="shared" si="173"/>
        <v>-0.5275528587732885</v>
      </c>
      <c r="N648" s="1">
        <f t="shared" si="178"/>
        <v>181.73798319494367</v>
      </c>
      <c r="P648" s="20">
        <f t="shared" si="179"/>
        <v>-14.069181091820697</v>
      </c>
      <c r="Q648" s="20">
        <f t="shared" si="174"/>
        <v>-0.31671295288075552</v>
      </c>
      <c r="R648" s="20">
        <f t="shared" si="175"/>
        <v>-6.8955574326312981</v>
      </c>
      <c r="S648" s="20">
        <f t="shared" si="180"/>
        <v>82.320077930876749</v>
      </c>
      <c r="T648" s="1">
        <f t="shared" si="181"/>
        <v>0</v>
      </c>
    </row>
    <row r="649" spans="1:20" x14ac:dyDescent="0.25">
      <c r="A649" s="20">
        <f t="shared" si="176"/>
        <v>6.4399999999999071</v>
      </c>
      <c r="C649" s="20">
        <f t="shared" si="166"/>
        <v>22.061153209085791</v>
      </c>
      <c r="D649" s="20">
        <f t="shared" si="169"/>
        <v>0.10454260360233053</v>
      </c>
      <c r="E649" s="20">
        <f t="shared" si="170"/>
        <v>2.2761289702227421</v>
      </c>
      <c r="F649" s="20">
        <f t="shared" si="171"/>
        <v>8.7815787025957659E-2</v>
      </c>
      <c r="G649" s="20">
        <f t="shared" si="172"/>
        <v>1.9119483349871034</v>
      </c>
      <c r="I649" s="20">
        <f t="shared" si="167"/>
        <v>-0.69561956980902762</v>
      </c>
      <c r="K649" s="20">
        <f t="shared" si="177"/>
        <v>16.935394076433703</v>
      </c>
      <c r="L649" s="20">
        <f t="shared" si="168"/>
        <v>-2.3975110745606154E-2</v>
      </c>
      <c r="M649" s="20">
        <f t="shared" si="173"/>
        <v>-0.52199239594178437</v>
      </c>
      <c r="N649" s="1">
        <f t="shared" si="178"/>
        <v>181.90736351335093</v>
      </c>
      <c r="P649" s="20">
        <f t="shared" si="179"/>
        <v>-14.138136666147011</v>
      </c>
      <c r="Q649" s="20">
        <f t="shared" si="174"/>
        <v>-0.31616361848978181</v>
      </c>
      <c r="R649" s="20">
        <f t="shared" si="175"/>
        <v>-6.8835971802695806</v>
      </c>
      <c r="S649" s="20">
        <f t="shared" si="180"/>
        <v>82.179041342086904</v>
      </c>
      <c r="T649" s="1">
        <f t="shared" si="181"/>
        <v>0</v>
      </c>
    </row>
    <row r="650" spans="1:20" x14ac:dyDescent="0.25">
      <c r="A650" s="20">
        <f t="shared" si="176"/>
        <v>6.4499999999999069</v>
      </c>
      <c r="C650" s="20">
        <f t="shared" si="166"/>
        <v>22.101331823411908</v>
      </c>
      <c r="D650" s="20">
        <f t="shared" si="169"/>
        <v>0.1049237443209828</v>
      </c>
      <c r="E650" s="20">
        <f t="shared" si="170"/>
        <v>2.2844272658607183</v>
      </c>
      <c r="F650" s="20">
        <f t="shared" si="171"/>
        <v>8.8135945229625548E-2</v>
      </c>
      <c r="G650" s="20">
        <f t="shared" si="172"/>
        <v>1.9189189033230034</v>
      </c>
      <c r="I650" s="20">
        <f t="shared" si="167"/>
        <v>-0.69816184684523652</v>
      </c>
      <c r="K650" s="20">
        <f t="shared" si="177"/>
        <v>16.930174152474283</v>
      </c>
      <c r="L650" s="20">
        <f t="shared" si="168"/>
        <v>-2.371948921338219E-2</v>
      </c>
      <c r="M650" s="20">
        <f t="shared" si="173"/>
        <v>-0.51642693693407771</v>
      </c>
      <c r="N650" s="1">
        <f t="shared" si="178"/>
        <v>182.07669135449547</v>
      </c>
      <c r="P650" s="20">
        <f t="shared" si="179"/>
        <v>-14.206972637949706</v>
      </c>
      <c r="Q650" s="20">
        <f t="shared" si="174"/>
        <v>-0.31561285099618713</v>
      </c>
      <c r="R650" s="20">
        <f t="shared" si="175"/>
        <v>-6.8716057260219277</v>
      </c>
      <c r="S650" s="20">
        <f t="shared" si="180"/>
        <v>82.037315795566414</v>
      </c>
      <c r="T650" s="1">
        <f t="shared" si="181"/>
        <v>0</v>
      </c>
    </row>
    <row r="651" spans="1:20" x14ac:dyDescent="0.25">
      <c r="A651" s="20">
        <f t="shared" si="176"/>
        <v>6.4599999999999067</v>
      </c>
      <c r="C651" s="20">
        <f t="shared" si="166"/>
        <v>22.141617991143836</v>
      </c>
      <c r="D651" s="20">
        <f t="shared" si="169"/>
        <v>0.10530660161200302</v>
      </c>
      <c r="E651" s="20">
        <f t="shared" si="170"/>
        <v>2.2927629351622691</v>
      </c>
      <c r="F651" s="20">
        <f t="shared" si="171"/>
        <v>8.845754535408254E-2</v>
      </c>
      <c r="G651" s="20">
        <f t="shared" si="172"/>
        <v>1.9259208655363063</v>
      </c>
      <c r="I651" s="20">
        <f t="shared" si="167"/>
        <v>-0.70068912057292454</v>
      </c>
      <c r="K651" s="20">
        <f t="shared" si="177"/>
        <v>16.925009883104941</v>
      </c>
      <c r="L651" s="20">
        <f t="shared" si="168"/>
        <v>-2.3463637256764515E-2</v>
      </c>
      <c r="M651" s="20">
        <f t="shared" si="173"/>
        <v>-0.5108564610660683</v>
      </c>
      <c r="N651" s="1">
        <f t="shared" si="178"/>
        <v>182.24596727467338</v>
      </c>
      <c r="P651" s="20">
        <f t="shared" si="179"/>
        <v>-14.275688695209926</v>
      </c>
      <c r="Q651" s="20">
        <f t="shared" si="174"/>
        <v>-0.31506066073774647</v>
      </c>
      <c r="R651" s="20">
        <f t="shared" si="175"/>
        <v>-6.8595832949650877</v>
      </c>
      <c r="S651" s="20">
        <f t="shared" si="180"/>
        <v>81.894902488900613</v>
      </c>
      <c r="T651" s="1">
        <f t="shared" si="181"/>
        <v>0</v>
      </c>
    </row>
    <row r="652" spans="1:20" x14ac:dyDescent="0.25">
      <c r="A652" s="20">
        <f t="shared" si="176"/>
        <v>6.4699999999999065</v>
      </c>
      <c r="C652" s="20">
        <f t="shared" si="166"/>
        <v>22.182009810934236</v>
      </c>
      <c r="D652" s="20">
        <f t="shared" si="169"/>
        <v>0.10569116294089224</v>
      </c>
      <c r="E652" s="20">
        <f t="shared" si="170"/>
        <v>2.3011357052229968</v>
      </c>
      <c r="F652" s="20">
        <f t="shared" si="171"/>
        <v>8.8780576870349487E-2</v>
      </c>
      <c r="G652" s="20">
        <f t="shared" si="172"/>
        <v>1.9329539923873174</v>
      </c>
      <c r="I652" s="20">
        <f t="shared" si="167"/>
        <v>-0.70320144025588704</v>
      </c>
      <c r="K652" s="20">
        <f t="shared" si="177"/>
        <v>16.919901318494279</v>
      </c>
      <c r="L652" s="20">
        <f t="shared" si="168"/>
        <v>-2.3207554066656456E-2</v>
      </c>
      <c r="M652" s="20">
        <f t="shared" si="173"/>
        <v>-0.50528095072189105</v>
      </c>
      <c r="N652" s="1">
        <f t="shared" si="178"/>
        <v>182.41519183068135</v>
      </c>
      <c r="P652" s="20">
        <f t="shared" si="179"/>
        <v>-14.344284528159577</v>
      </c>
      <c r="Q652" s="20">
        <f t="shared" si="174"/>
        <v>-0.31450705809013652</v>
      </c>
      <c r="R652" s="20">
        <f t="shared" si="175"/>
        <v>-6.8475301130010129</v>
      </c>
      <c r="S652" s="20">
        <f t="shared" si="180"/>
        <v>81.751802622783771</v>
      </c>
      <c r="T652" s="1">
        <f t="shared" si="181"/>
        <v>0</v>
      </c>
    </row>
    <row r="653" spans="1:20" x14ac:dyDescent="0.25">
      <c r="A653" s="20">
        <f t="shared" si="176"/>
        <v>6.4799999999999063</v>
      </c>
      <c r="C653" s="20">
        <f t="shared" si="166"/>
        <v>22.222505393829142</v>
      </c>
      <c r="D653" s="20">
        <f t="shared" si="169"/>
        <v>0.10607741577405744</v>
      </c>
      <c r="E653" s="20">
        <f t="shared" si="170"/>
        <v>2.3095453031582287</v>
      </c>
      <c r="F653" s="20">
        <f t="shared" si="171"/>
        <v>8.9105029250208245E-2</v>
      </c>
      <c r="G653" s="20">
        <f t="shared" si="172"/>
        <v>1.940018054652912</v>
      </c>
      <c r="I653" s="20">
        <f t="shared" si="167"/>
        <v>-0.70569885570751578</v>
      </c>
      <c r="K653" s="20">
        <f t="shared" si="177"/>
        <v>16.91484850898706</v>
      </c>
      <c r="L653" s="20">
        <f t="shared" si="168"/>
        <v>-2.2951238973242395E-2</v>
      </c>
      <c r="M653" s="20">
        <f t="shared" si="173"/>
        <v>-0.49970039131814492</v>
      </c>
      <c r="N653" s="1">
        <f t="shared" si="178"/>
        <v>182.58436557981875</v>
      </c>
      <c r="P653" s="20">
        <f t="shared" si="179"/>
        <v>-14.412759829289588</v>
      </c>
      <c r="Q653" s="20">
        <f t="shared" si="174"/>
        <v>-0.31395205346573712</v>
      </c>
      <c r="R653" s="20">
        <f t="shared" si="175"/>
        <v>-6.8354464068307674</v>
      </c>
      <c r="S653" s="20">
        <f t="shared" si="180"/>
        <v>81.608017400996516</v>
      </c>
      <c r="T653" s="1">
        <f t="shared" si="181"/>
        <v>0</v>
      </c>
    </row>
    <row r="654" spans="1:20" x14ac:dyDescent="0.25">
      <c r="A654" s="20">
        <f t="shared" si="176"/>
        <v>6.4899999999999061</v>
      </c>
      <c r="C654" s="20">
        <f t="shared" si="166"/>
        <v>22.263102863279045</v>
      </c>
      <c r="D654" s="20">
        <f t="shared" si="169"/>
        <v>0.10646534757914303</v>
      </c>
      <c r="E654" s="20">
        <f t="shared" si="170"/>
        <v>2.3179914561102337</v>
      </c>
      <c r="F654" s="20">
        <f t="shared" si="171"/>
        <v>8.9430891966480144E-2</v>
      </c>
      <c r="G654" s="20">
        <f t="shared" si="172"/>
        <v>1.9471128231325963</v>
      </c>
      <c r="I654" s="20">
        <f t="shared" si="167"/>
        <v>-0.70818141727196882</v>
      </c>
      <c r="K654" s="20">
        <f t="shared" si="177"/>
        <v>16.909851505073878</v>
      </c>
      <c r="L654" s="20">
        <f t="shared" si="168"/>
        <v>-2.2694691444345549E-2</v>
      </c>
      <c r="M654" s="20">
        <f t="shared" si="173"/>
        <v>-0.49411477126813741</v>
      </c>
      <c r="N654" s="1">
        <f t="shared" si="178"/>
        <v>182.75348907988905</v>
      </c>
      <c r="P654" s="20">
        <f t="shared" si="179"/>
        <v>-14.481114293357896</v>
      </c>
      <c r="Q654" s="20">
        <f t="shared" si="174"/>
        <v>-0.31339565731244712</v>
      </c>
      <c r="R654" s="20">
        <f t="shared" si="175"/>
        <v>-6.8233324039287417</v>
      </c>
      <c r="S654" s="20">
        <f t="shared" si="180"/>
        <v>81.463548030383279</v>
      </c>
      <c r="T654" s="1">
        <f t="shared" si="181"/>
        <v>0</v>
      </c>
    </row>
    <row r="655" spans="1:20" x14ac:dyDescent="0.25">
      <c r="A655" s="20">
        <f t="shared" si="176"/>
        <v>6.4999999999999059</v>
      </c>
      <c r="C655" s="20">
        <f t="shared" si="166"/>
        <v>22.303800355147526</v>
      </c>
      <c r="D655" s="20">
        <f t="shared" si="169"/>
        <v>0.10685494582536363</v>
      </c>
      <c r="E655" s="20">
        <f t="shared" si="170"/>
        <v>2.3264738912554677</v>
      </c>
      <c r="F655" s="20">
        <f t="shared" si="171"/>
        <v>8.9758154493305445E-2</v>
      </c>
      <c r="G655" s="20">
        <f t="shared" si="172"/>
        <v>1.9542380686545928</v>
      </c>
      <c r="I655" s="20">
        <f t="shared" si="167"/>
        <v>-0.7106491758056479</v>
      </c>
      <c r="K655" s="20">
        <f t="shared" si="177"/>
        <v>16.904910357361196</v>
      </c>
      <c r="L655" s="20">
        <f t="shared" si="168"/>
        <v>-2.2437911083786108E-2</v>
      </c>
      <c r="M655" s="20">
        <f t="shared" si="173"/>
        <v>-0.48852408194613778</v>
      </c>
      <c r="N655" s="1">
        <f t="shared" si="178"/>
        <v>182.92256288920123</v>
      </c>
      <c r="P655" s="20">
        <f t="shared" si="179"/>
        <v>-14.549347617397183</v>
      </c>
      <c r="Q655" s="20">
        <f t="shared" si="174"/>
        <v>-0.31283788011251579</v>
      </c>
      <c r="R655" s="20">
        <f t="shared" si="175"/>
        <v>-6.8111883325172178</v>
      </c>
      <c r="S655" s="20">
        <f t="shared" si="180"/>
        <v>81.3183957208295</v>
      </c>
      <c r="T655" s="1">
        <f t="shared" si="181"/>
        <v>0</v>
      </c>
    </row>
    <row r="656" spans="1:20" x14ac:dyDescent="0.25">
      <c r="A656" s="20">
        <f t="shared" si="176"/>
        <v>6.5099999999999056</v>
      </c>
      <c r="C656" s="20">
        <f t="shared" si="166"/>
        <v>22.344596017717567</v>
      </c>
      <c r="D656" s="20">
        <f t="shared" si="169"/>
        <v>0.10724619798383853</v>
      </c>
      <c r="E656" s="20">
        <f t="shared" si="170"/>
        <v>2.3349923358118558</v>
      </c>
      <c r="F656" s="20">
        <f t="shared" si="171"/>
        <v>9.0086806306424363E-2</v>
      </c>
      <c r="G656" s="20">
        <f t="shared" si="172"/>
        <v>1.9613935620819587</v>
      </c>
      <c r="I656" s="20">
        <f t="shared" si="167"/>
        <v>-0.71310218265898095</v>
      </c>
      <c r="K656" s="20">
        <f t="shared" si="177"/>
        <v>16.900025116541734</v>
      </c>
      <c r="L656" s="20">
        <f t="shared" si="168"/>
        <v>-2.2180897629740508E-2</v>
      </c>
      <c r="M656" s="20">
        <f t="shared" si="173"/>
        <v>-0.48292831765165489</v>
      </c>
      <c r="N656" s="1">
        <f t="shared" si="178"/>
        <v>183.09158756657072</v>
      </c>
      <c r="P656" s="20">
        <f t="shared" si="179"/>
        <v>-14.617459500722356</v>
      </c>
      <c r="Q656" s="20">
        <f t="shared" si="174"/>
        <v>-0.31227873238138787</v>
      </c>
      <c r="R656" s="20">
        <f t="shared" si="175"/>
        <v>-6.7990144215412123</v>
      </c>
      <c r="S656" s="20">
        <f t="shared" si="180"/>
        <v>81.172561685238904</v>
      </c>
      <c r="T656" s="1">
        <f t="shared" si="181"/>
        <v>0</v>
      </c>
    </row>
    <row r="657" spans="1:20" x14ac:dyDescent="0.25">
      <c r="A657" s="20">
        <f t="shared" si="176"/>
        <v>6.5199999999999054</v>
      </c>
      <c r="C657" s="20">
        <f t="shared" si="166"/>
        <v>22.385488011695529</v>
      </c>
      <c r="D657" s="20">
        <f t="shared" si="169"/>
        <v>0.10763909152792728</v>
      </c>
      <c r="E657" s="20">
        <f t="shared" si="170"/>
        <v>2.3435465170460978</v>
      </c>
      <c r="F657" s="20">
        <f t="shared" si="171"/>
        <v>9.0416836883458918E-2</v>
      </c>
      <c r="G657" s="20">
        <f t="shared" si="172"/>
        <v>1.9685790743187224</v>
      </c>
      <c r="I657" s="20">
        <f t="shared" si="167"/>
        <v>-0.71554048965850903</v>
      </c>
      <c r="K657" s="20">
        <f t="shared" si="177"/>
        <v>16.895195833365218</v>
      </c>
      <c r="L657" s="20">
        <f t="shared" si="168"/>
        <v>-2.192365095310219E-2</v>
      </c>
      <c r="M657" s="20">
        <f t="shared" si="173"/>
        <v>-0.47732747557374683</v>
      </c>
      <c r="N657" s="1">
        <f t="shared" si="178"/>
        <v>183.26056367132026</v>
      </c>
      <c r="P657" s="20">
        <f t="shared" si="179"/>
        <v>-14.685449644937769</v>
      </c>
      <c r="Q657" s="20">
        <f t="shared" si="174"/>
        <v>-0.31171822466656446</v>
      </c>
      <c r="R657" s="20">
        <f t="shared" si="175"/>
        <v>-6.786810900643685</v>
      </c>
      <c r="S657" s="20">
        <f t="shared" si="180"/>
        <v>81.026047139510609</v>
      </c>
      <c r="T657" s="1">
        <f t="shared" si="181"/>
        <v>0</v>
      </c>
    </row>
    <row r="658" spans="1:20" x14ac:dyDescent="0.25">
      <c r="A658" s="20">
        <f t="shared" si="176"/>
        <v>6.5299999999999052</v>
      </c>
      <c r="C658" s="20">
        <f t="shared" si="166"/>
        <v>22.426474510212909</v>
      </c>
      <c r="D658" s="20">
        <f t="shared" si="169"/>
        <v>0.10803361393356688</v>
      </c>
      <c r="E658" s="20">
        <f t="shared" si="170"/>
        <v>2.352136162281012</v>
      </c>
      <c r="F658" s="20">
        <f t="shared" si="171"/>
        <v>9.074823570419617E-2</v>
      </c>
      <c r="G658" s="20">
        <f t="shared" si="172"/>
        <v>1.9757943763160499</v>
      </c>
      <c r="I658" s="20">
        <f t="shared" si="167"/>
        <v>-0.71796414908927708</v>
      </c>
      <c r="K658" s="20">
        <f t="shared" si="177"/>
        <v>16.89042255860948</v>
      </c>
      <c r="L658" s="20">
        <f t="shared" si="168"/>
        <v>-2.1666171055843834E-2</v>
      </c>
      <c r="M658" s="20">
        <f t="shared" si="173"/>
        <v>-0.47172155575536329</v>
      </c>
      <c r="N658" s="1">
        <f t="shared" si="178"/>
        <v>183.42949176328014</v>
      </c>
      <c r="P658" s="20">
        <f t="shared" si="179"/>
        <v>-14.753317753944206</v>
      </c>
      <c r="Q658" s="20">
        <f t="shared" si="174"/>
        <v>-0.31115636754647685</v>
      </c>
      <c r="R658" s="20">
        <f t="shared" si="175"/>
        <v>-6.7745780001410161</v>
      </c>
      <c r="S658" s="20">
        <f t="shared" si="180"/>
        <v>80.878853302516205</v>
      </c>
      <c r="T658" s="1">
        <f t="shared" si="181"/>
        <v>0</v>
      </c>
    </row>
    <row r="659" spans="1:20" x14ac:dyDescent="0.25">
      <c r="A659" s="20">
        <f t="shared" si="176"/>
        <v>6.539999999999905</v>
      </c>
      <c r="C659" s="20">
        <f t="shared" si="166"/>
        <v>22.467553698825888</v>
      </c>
      <c r="D659" s="20">
        <f t="shared" si="169"/>
        <v>0.10842975267960971</v>
      </c>
      <c r="E659" s="20">
        <f t="shared" si="170"/>
        <v>2.3607609989028893</v>
      </c>
      <c r="F659" s="20">
        <f t="shared" si="171"/>
        <v>9.1080992250872156E-2</v>
      </c>
      <c r="G659" s="20">
        <f t="shared" si="172"/>
        <v>1.9830392390784271</v>
      </c>
      <c r="I659" s="20">
        <f t="shared" si="167"/>
        <v>-0.72037321367752494</v>
      </c>
      <c r="K659" s="20">
        <f t="shared" si="177"/>
        <v>16.885705343051924</v>
      </c>
      <c r="L659" s="20">
        <f t="shared" si="168"/>
        <v>-2.1408458069381894E-2</v>
      </c>
      <c r="M659" s="20">
        <f t="shared" si="173"/>
        <v>-0.46611056105773774</v>
      </c>
      <c r="N659" s="1">
        <f t="shared" si="178"/>
        <v>183.59837240278844</v>
      </c>
      <c r="P659" s="20">
        <f t="shared" si="179"/>
        <v>-14.821063533945615</v>
      </c>
      <c r="Q659" s="20">
        <f t="shared" si="174"/>
        <v>-0.31059317162937633</v>
      </c>
      <c r="R659" s="20">
        <f t="shared" si="175"/>
        <v>-6.7623159509988318</v>
      </c>
      <c r="S659" s="20">
        <f t="shared" si="180"/>
        <v>80.730981396076757</v>
      </c>
      <c r="T659" s="1">
        <f t="shared" si="181"/>
        <v>0</v>
      </c>
    </row>
    <row r="660" spans="1:20" x14ac:dyDescent="0.25">
      <c r="A660" s="20">
        <f t="shared" si="176"/>
        <v>6.5499999999999048</v>
      </c>
      <c r="C660" s="20">
        <f t="shared" si="166"/>
        <v>22.508723775512767</v>
      </c>
      <c r="D660" s="20">
        <f t="shared" si="169"/>
        <v>0.1088274952481631</v>
      </c>
      <c r="E660" s="20">
        <f t="shared" si="170"/>
        <v>2.3694207543688894</v>
      </c>
      <c r="F660" s="20">
        <f t="shared" si="171"/>
        <v>9.1415096008457E-2</v>
      </c>
      <c r="G660" s="20">
        <f t="shared" si="172"/>
        <v>1.9903134336698673</v>
      </c>
      <c r="I660" s="20">
        <f t="shared" si="167"/>
        <v>-0.72276773657368087</v>
      </c>
      <c r="K660" s="20">
        <f t="shared" si="177"/>
        <v>16.881044237441348</v>
      </c>
      <c r="L660" s="20">
        <f t="shared" si="168"/>
        <v>-2.1150512252943315E-2</v>
      </c>
      <c r="M660" s="20">
        <f t="shared" si="173"/>
        <v>-0.46049449712482726</v>
      </c>
      <c r="N660" s="1">
        <f t="shared" si="178"/>
        <v>183.7672061506909</v>
      </c>
      <c r="P660" s="20">
        <f t="shared" si="179"/>
        <v>-14.888686693455604</v>
      </c>
      <c r="Q660" s="20">
        <f t="shared" si="174"/>
        <v>-0.31002864755223708</v>
      </c>
      <c r="R660" s="20">
        <f t="shared" si="175"/>
        <v>-6.7500249848081229</v>
      </c>
      <c r="S660" s="20">
        <f t="shared" si="180"/>
        <v>80.582432644939757</v>
      </c>
      <c r="T660" s="1">
        <f t="shared" si="181"/>
        <v>0</v>
      </c>
    </row>
    <row r="661" spans="1:20" x14ac:dyDescent="0.25">
      <c r="A661" s="20">
        <f t="shared" si="176"/>
        <v>6.5599999999999046</v>
      </c>
      <c r="C661" s="20">
        <f t="shared" si="166"/>
        <v>22.549982950669303</v>
      </c>
      <c r="D661" s="20">
        <f t="shared" si="169"/>
        <v>0.10922682912492961</v>
      </c>
      <c r="E661" s="20">
        <f t="shared" si="170"/>
        <v>2.3781151562144482</v>
      </c>
      <c r="F661" s="20">
        <f t="shared" si="171"/>
        <v>9.1750536464940871E-2</v>
      </c>
      <c r="G661" s="20">
        <f t="shared" si="172"/>
        <v>1.9976167312201365</v>
      </c>
      <c r="I661" s="20">
        <f t="shared" si="167"/>
        <v>-0.72514777133565134</v>
      </c>
      <c r="K661" s="20">
        <f t="shared" si="177"/>
        <v>16.876439292470099</v>
      </c>
      <c r="L661" s="20">
        <f t="shared" si="168"/>
        <v>-2.0892333991934957E-2</v>
      </c>
      <c r="M661" s="20">
        <f t="shared" si="173"/>
        <v>-0.45487337234781094</v>
      </c>
      <c r="N661" s="1">
        <f t="shared" si="178"/>
        <v>183.93599356834045</v>
      </c>
      <c r="P661" s="20">
        <f t="shared" si="179"/>
        <v>-14.956186943303685</v>
      </c>
      <c r="Q661" s="20">
        <f t="shared" si="174"/>
        <v>-0.30946280597967402</v>
      </c>
      <c r="R661" s="20">
        <f t="shared" si="175"/>
        <v>-6.7377053337616815</v>
      </c>
      <c r="S661" s="20">
        <f t="shared" si="180"/>
        <v>80.433208276755963</v>
      </c>
      <c r="T661" s="1">
        <f t="shared" si="181"/>
        <v>0</v>
      </c>
    </row>
    <row r="662" spans="1:20" x14ac:dyDescent="0.25">
      <c r="A662" s="20">
        <f t="shared" si="176"/>
        <v>6.5699999999999044</v>
      </c>
      <c r="C662" s="20">
        <f t="shared" si="166"/>
        <v>22.591329447102048</v>
      </c>
      <c r="D662" s="20">
        <f t="shared" si="169"/>
        <v>0.10962774179954848</v>
      </c>
      <c r="E662" s="20">
        <f t="shared" si="170"/>
        <v>2.3868439320607115</v>
      </c>
      <c r="F662" s="20">
        <f t="shared" si="171"/>
        <v>9.2087303111620722E-2</v>
      </c>
      <c r="G662" s="20">
        <f t="shared" si="172"/>
        <v>2.0049489029309977</v>
      </c>
      <c r="I662" s="20">
        <f t="shared" si="167"/>
        <v>-0.72751337191240917</v>
      </c>
      <c r="K662" s="20">
        <f t="shared" si="177"/>
        <v>16.871890558746621</v>
      </c>
      <c r="L662" s="20">
        <f t="shared" si="168"/>
        <v>-2.0633923796316067E-2</v>
      </c>
      <c r="M662" s="20">
        <f t="shared" si="173"/>
        <v>-0.44924719782965528</v>
      </c>
      <c r="N662" s="1">
        <f t="shared" si="178"/>
        <v>184.10473521759656</v>
      </c>
      <c r="P662" s="20">
        <f t="shared" si="179"/>
        <v>-15.023563996641302</v>
      </c>
      <c r="Q662" s="20">
        <f t="shared" si="174"/>
        <v>-0.30889565760287441</v>
      </c>
      <c r="R662" s="20">
        <f t="shared" si="175"/>
        <v>-6.7253572306308387</v>
      </c>
      <c r="S662" s="20">
        <f t="shared" si="180"/>
        <v>80.283309522056229</v>
      </c>
      <c r="T662" s="1">
        <f t="shared" si="181"/>
        <v>0</v>
      </c>
    </row>
    <row r="663" spans="1:20" x14ac:dyDescent="0.25">
      <c r="A663" s="20">
        <f t="shared" si="176"/>
        <v>6.5799999999999041</v>
      </c>
      <c r="C663" s="20">
        <f t="shared" si="166"/>
        <v>22.632761500019694</v>
      </c>
      <c r="D663" s="20">
        <f t="shared" si="169"/>
        <v>0.11003022076593801</v>
      </c>
      <c r="E663" s="20">
        <f t="shared" si="170"/>
        <v>2.3956068096219902</v>
      </c>
      <c r="F663" s="20">
        <f t="shared" si="171"/>
        <v>9.2425385443387922E-2</v>
      </c>
      <c r="G663" s="20">
        <f t="shared" si="172"/>
        <v>2.0123097200824716</v>
      </c>
      <c r="I663" s="20">
        <f t="shared" si="167"/>
        <v>-0.72986459262787606</v>
      </c>
      <c r="K663" s="20">
        <f t="shared" si="177"/>
        <v>16.867398086768326</v>
      </c>
      <c r="L663" s="20">
        <f t="shared" si="168"/>
        <v>-2.0375282298973764E-2</v>
      </c>
      <c r="M663" s="20">
        <f t="shared" si="173"/>
        <v>-0.4436159873497445</v>
      </c>
      <c r="N663" s="1">
        <f t="shared" si="178"/>
        <v>184.27343166082414</v>
      </c>
      <c r="P663" s="20">
        <f t="shared" si="179"/>
        <v>-15.09081756894761</v>
      </c>
      <c r="Q663" s="20">
        <f t="shared" si="174"/>
        <v>-0.30832721313854361</v>
      </c>
      <c r="R663" s="20">
        <f t="shared" si="175"/>
        <v>-6.7129809087425132</v>
      </c>
      <c r="S663" s="20">
        <f t="shared" si="180"/>
        <v>80.13273761422829</v>
      </c>
      <c r="T663" s="1">
        <f t="shared" si="181"/>
        <v>0</v>
      </c>
    </row>
    <row r="664" spans="1:20" x14ac:dyDescent="0.25">
      <c r="A664" s="20">
        <f t="shared" si="176"/>
        <v>6.5899999999999039</v>
      </c>
      <c r="C664" s="20">
        <f t="shared" si="166"/>
        <v>22.674277357022511</v>
      </c>
      <c r="D664" s="20">
        <f t="shared" si="169"/>
        <v>0.11043425352263864</v>
      </c>
      <c r="E664" s="20">
        <f t="shared" si="170"/>
        <v>2.4044035167132298</v>
      </c>
      <c r="F664" s="20">
        <f t="shared" si="171"/>
        <v>9.2764772959016445E-2</v>
      </c>
      <c r="G664" s="20">
        <f t="shared" si="172"/>
        <v>2.0196989540391126</v>
      </c>
      <c r="I664" s="20">
        <f t="shared" si="167"/>
        <v>-0.73220148816509789</v>
      </c>
      <c r="K664" s="20">
        <f t="shared" si="177"/>
        <v>16.86296192689483</v>
      </c>
      <c r="L664" s="20">
        <f t="shared" si="168"/>
        <v>-2.0116410254102324E-2</v>
      </c>
      <c r="M664" s="20">
        <f t="shared" si="173"/>
        <v>-0.43797975732859407</v>
      </c>
      <c r="N664" s="1">
        <f t="shared" si="178"/>
        <v>184.44208346089246</v>
      </c>
      <c r="P664" s="20">
        <f t="shared" si="179"/>
        <v>-15.157947378035036</v>
      </c>
      <c r="Q664" s="20">
        <f t="shared" si="174"/>
        <v>-0.30775748332786479</v>
      </c>
      <c r="R664" s="20">
        <f t="shared" si="175"/>
        <v>-6.70057660195656</v>
      </c>
      <c r="S664" s="20">
        <f t="shared" si="180"/>
        <v>79.981493789493371</v>
      </c>
      <c r="T664" s="1">
        <f t="shared" si="181"/>
        <v>0</v>
      </c>
    </row>
    <row r="665" spans="1:20" x14ac:dyDescent="0.25">
      <c r="A665" s="20">
        <f t="shared" si="176"/>
        <v>6.5999999999999037</v>
      </c>
      <c r="C665" s="20">
        <f t="shared" si="166"/>
        <v>22.715875278089943</v>
      </c>
      <c r="D665" s="20">
        <f t="shared" si="169"/>
        <v>0.11083982757315718</v>
      </c>
      <c r="E665" s="20">
        <f t="shared" si="170"/>
        <v>2.4132337812575044</v>
      </c>
      <c r="F665" s="20">
        <f t="shared" si="171"/>
        <v>9.3105455161452022E-2</v>
      </c>
      <c r="G665" s="20">
        <f t="shared" si="172"/>
        <v>2.0271163762563038</v>
      </c>
      <c r="I665" s="20">
        <f t="shared" si="167"/>
        <v>-0.7345241135507109</v>
      </c>
      <c r="K665" s="20">
        <f t="shared" si="177"/>
        <v>16.858582129321544</v>
      </c>
      <c r="L665" s="20">
        <f t="shared" si="168"/>
        <v>-1.9857308535586107E-2</v>
      </c>
      <c r="M665" s="20">
        <f t="shared" si="173"/>
        <v>-0.43233852679264334</v>
      </c>
      <c r="N665" s="1">
        <f t="shared" si="178"/>
        <v>184.61069118117356</v>
      </c>
      <c r="P665" s="20">
        <f t="shared" si="179"/>
        <v>-15.224953144054602</v>
      </c>
      <c r="Q665" s="20">
        <f t="shared" si="174"/>
        <v>-0.30718647893547224</v>
      </c>
      <c r="R665" s="20">
        <f t="shared" si="175"/>
        <v>-6.6881445446434196</v>
      </c>
      <c r="S665" s="20">
        <f t="shared" si="180"/>
        <v>79.829579286882932</v>
      </c>
      <c r="T665" s="1">
        <f t="shared" si="181"/>
        <v>0</v>
      </c>
    </row>
    <row r="666" spans="1:20" x14ac:dyDescent="0.25">
      <c r="A666" s="20">
        <f t="shared" si="176"/>
        <v>6.6099999999999035</v>
      </c>
      <c r="C666" s="20">
        <f t="shared" si="166"/>
        <v>22.757553535566341</v>
      </c>
      <c r="D666" s="20">
        <f t="shared" si="169"/>
        <v>0.11124693042631134</v>
      </c>
      <c r="E666" s="20">
        <f t="shared" si="170"/>
        <v>2.4220973312935192</v>
      </c>
      <c r="F666" s="20">
        <f t="shared" si="171"/>
        <v>9.3447421558101526E-2</v>
      </c>
      <c r="G666" s="20">
        <f t="shared" si="172"/>
        <v>2.0345617582865563</v>
      </c>
      <c r="I666" s="20">
        <f t="shared" si="167"/>
        <v>-0.73683252413969658</v>
      </c>
      <c r="K666" s="20">
        <f t="shared" si="177"/>
        <v>16.854258744053617</v>
      </c>
      <c r="L666" s="20">
        <f t="shared" si="168"/>
        <v>-1.9597978135386648E-2</v>
      </c>
      <c r="M666" s="20">
        <f t="shared" si="173"/>
        <v>-0.42669231733913887</v>
      </c>
      <c r="N666" s="1">
        <f t="shared" si="178"/>
        <v>184.77925538554044</v>
      </c>
      <c r="P666" s="20">
        <f t="shared" si="179"/>
        <v>-15.291834589501036</v>
      </c>
      <c r="Q666" s="20">
        <f t="shared" si="174"/>
        <v>-0.3066142107484387</v>
      </c>
      <c r="R666" s="20">
        <f t="shared" si="175"/>
        <v>-6.6756849716620668</v>
      </c>
      <c r="S666" s="20">
        <f t="shared" si="180"/>
        <v>79.676995348215158</v>
      </c>
      <c r="T666" s="1">
        <f t="shared" si="181"/>
        <v>0</v>
      </c>
    </row>
    <row r="667" spans="1:20" x14ac:dyDescent="0.25">
      <c r="A667" s="20">
        <f t="shared" si="176"/>
        <v>6.6199999999999033</v>
      </c>
      <c r="C667" s="20">
        <f t="shared" si="166"/>
        <v>22.799310414144994</v>
      </c>
      <c r="D667" s="20">
        <f t="shared" si="169"/>
        <v>0.11165554959657534</v>
      </c>
      <c r="E667" s="20">
        <f t="shared" si="170"/>
        <v>2.4309938949831338</v>
      </c>
      <c r="F667" s="20">
        <f t="shared" si="171"/>
        <v>9.3790661661123279E-2</v>
      </c>
      <c r="G667" s="20">
        <f t="shared" si="172"/>
        <v>2.0420348717858325</v>
      </c>
      <c r="I667" s="20">
        <f t="shared" si="167"/>
        <v>-0.73912677560042295</v>
      </c>
      <c r="K667" s="20">
        <f t="shared" si="177"/>
        <v>16.849991820880227</v>
      </c>
      <c r="L667" s="20">
        <f t="shared" si="168"/>
        <v>-1.9338420161934003E-2</v>
      </c>
      <c r="M667" s="20">
        <f t="shared" si="173"/>
        <v>-0.42104115310111045</v>
      </c>
      <c r="N667" s="1">
        <f t="shared" si="178"/>
        <v>184.9477766383651</v>
      </c>
      <c r="P667" s="20">
        <f t="shared" si="179"/>
        <v>-15.358591439217657</v>
      </c>
      <c r="Q667" s="20">
        <f t="shared" si="174"/>
        <v>-0.3060406895752758</v>
      </c>
      <c r="R667" s="20">
        <f t="shared" si="175"/>
        <v>-6.6631981183382498</v>
      </c>
      <c r="S667" s="20">
        <f t="shared" si="180"/>
        <v>79.523743218071559</v>
      </c>
      <c r="T667" s="1">
        <f t="shared" si="181"/>
        <v>0</v>
      </c>
    </row>
    <row r="668" spans="1:20" x14ac:dyDescent="0.25">
      <c r="A668" s="20">
        <f t="shared" si="176"/>
        <v>6.6299999999999031</v>
      </c>
      <c r="C668" s="20">
        <f t="shared" si="166"/>
        <v>22.841144210850391</v>
      </c>
      <c r="D668" s="20">
        <f t="shared" si="169"/>
        <v>0.11206567260442572</v>
      </c>
      <c r="E668" s="20">
        <f t="shared" si="170"/>
        <v>2.4399232006188925</v>
      </c>
      <c r="F668" s="20">
        <f t="shared" si="171"/>
        <v>9.4135164987717609E-2</v>
      </c>
      <c r="G668" s="20">
        <f t="shared" si="172"/>
        <v>2.0495354885198696</v>
      </c>
      <c r="I668" s="20">
        <f t="shared" si="167"/>
        <v>-0.74140692389996965</v>
      </c>
      <c r="K668" s="20">
        <f t="shared" si="177"/>
        <v>16.845781409349215</v>
      </c>
      <c r="L668" s="20">
        <f t="shared" si="168"/>
        <v>-1.9078635838522581E-2</v>
      </c>
      <c r="M668" s="20">
        <f t="shared" si="173"/>
        <v>-0.41538506071244463</v>
      </c>
      <c r="N668" s="1">
        <f t="shared" si="178"/>
        <v>185.11625550451623</v>
      </c>
      <c r="P668" s="20">
        <f t="shared" si="179"/>
        <v>-15.425223420401039</v>
      </c>
      <c r="Q668" s="20">
        <f t="shared" si="174"/>
        <v>-0.30546592624494856</v>
      </c>
      <c r="R668" s="20">
        <f t="shared" si="175"/>
        <v>-6.6506842204430345</v>
      </c>
      <c r="S668" s="20">
        <f t="shared" si="180"/>
        <v>79.369824143773457</v>
      </c>
      <c r="T668" s="1">
        <f t="shared" si="181"/>
        <v>0</v>
      </c>
    </row>
    <row r="669" spans="1:20" x14ac:dyDescent="0.25">
      <c r="A669" s="20">
        <f t="shared" si="176"/>
        <v>6.6399999999999029</v>
      </c>
      <c r="C669" s="20">
        <f t="shared" si="166"/>
        <v>22.88305323501886</v>
      </c>
      <c r="D669" s="20">
        <f t="shared" si="169"/>
        <v>0.1124772869766881</v>
      </c>
      <c r="E669" s="20">
        <f t="shared" si="170"/>
        <v>2.4488849766315721</v>
      </c>
      <c r="F669" s="20">
        <f t="shared" si="171"/>
        <v>9.4480921060417999E-2</v>
      </c>
      <c r="G669" s="20">
        <f t="shared" si="172"/>
        <v>2.0570633803705203</v>
      </c>
      <c r="I669" s="20">
        <f t="shared" si="167"/>
        <v>-0.74367302528973445</v>
      </c>
      <c r="K669" s="20">
        <f t="shared" si="177"/>
        <v>16.84162755874209</v>
      </c>
      <c r="L669" s="20">
        <f t="shared" si="168"/>
        <v>-1.8818626501712205E-2</v>
      </c>
      <c r="M669" s="20">
        <f t="shared" si="173"/>
        <v>-0.4097240692730722</v>
      </c>
      <c r="N669" s="1">
        <f t="shared" si="178"/>
        <v>185.28469254935669</v>
      </c>
      <c r="P669" s="20">
        <f t="shared" si="179"/>
        <v>-15.49173026260547</v>
      </c>
      <c r="Q669" s="20">
        <f t="shared" si="174"/>
        <v>-0.30488993160590278</v>
      </c>
      <c r="R669" s="20">
        <f t="shared" si="175"/>
        <v>-6.6381435141716256</v>
      </c>
      <c r="S669" s="20">
        <f t="shared" si="180"/>
        <v>79.215239375358422</v>
      </c>
      <c r="T669" s="1">
        <f t="shared" si="181"/>
        <v>0</v>
      </c>
    </row>
    <row r="670" spans="1:20" x14ac:dyDescent="0.25">
      <c r="A670" s="20">
        <f t="shared" si="176"/>
        <v>6.6499999999999027</v>
      </c>
      <c r="C670" s="20">
        <f t="shared" si="166"/>
        <v>22.925035808277578</v>
      </c>
      <c r="D670" s="20">
        <f t="shared" si="169"/>
        <v>0.11289038024688405</v>
      </c>
      <c r="E670" s="20">
        <f t="shared" si="170"/>
        <v>2.4578789515977371</v>
      </c>
      <c r="F670" s="20">
        <f t="shared" si="171"/>
        <v>9.482791940738261E-2</v>
      </c>
      <c r="G670" s="20">
        <f t="shared" si="172"/>
        <v>2.0646183193420993</v>
      </c>
      <c r="I670" s="20">
        <f t="shared" si="167"/>
        <v>-0.74592513629131907</v>
      </c>
      <c r="K670" s="20">
        <f t="shared" si="177"/>
        <v>16.83753031804936</v>
      </c>
      <c r="L670" s="20">
        <f t="shared" si="168"/>
        <v>-1.8558393599733672E-2</v>
      </c>
      <c r="M670" s="20">
        <f t="shared" si="173"/>
        <v>-0.40405821031425371</v>
      </c>
      <c r="N670" s="1">
        <f t="shared" si="178"/>
        <v>185.45308833874066</v>
      </c>
      <c r="P670" s="20">
        <f t="shared" si="179"/>
        <v>-15.558111697747186</v>
      </c>
      <c r="Q670" s="20">
        <f t="shared" si="174"/>
        <v>-0.30431271652510583</v>
      </c>
      <c r="R670" s="20">
        <f t="shared" si="175"/>
        <v>-6.6255762361224875</v>
      </c>
      <c r="S670" s="20">
        <f t="shared" si="180"/>
        <v>79.059990165556655</v>
      </c>
      <c r="T670" s="1">
        <f t="shared" si="181"/>
        <v>0</v>
      </c>
    </row>
    <row r="671" spans="1:20" x14ac:dyDescent="0.25">
      <c r="A671" s="20">
        <f t="shared" si="176"/>
        <v>6.6599999999999024</v>
      </c>
      <c r="C671" s="20">
        <f t="shared" si="166"/>
        <v>22.967090264522</v>
      </c>
      <c r="D671" s="20">
        <f t="shared" si="169"/>
        <v>0.11330493995557864</v>
      </c>
      <c r="E671" s="20">
        <f t="shared" si="170"/>
        <v>2.4669048542473031</v>
      </c>
      <c r="F671" s="20">
        <f t="shared" si="171"/>
        <v>9.5176149562686052E-2</v>
      </c>
      <c r="G671" s="20">
        <f t="shared" si="172"/>
        <v>2.0722000775677345</v>
      </c>
      <c r="I671" s="20">
        <f t="shared" si="167"/>
        <v>-0.74816331368269151</v>
      </c>
      <c r="K671" s="20">
        <f t="shared" si="177"/>
        <v>16.833489735946216</v>
      </c>
      <c r="L671" s="20">
        <f t="shared" si="168"/>
        <v>-1.8297938690900101E-2</v>
      </c>
      <c r="M671" s="20">
        <f t="shared" si="173"/>
        <v>-0.39838751776399089</v>
      </c>
      <c r="N671" s="1">
        <f t="shared" si="178"/>
        <v>185.62144343901062</v>
      </c>
      <c r="P671" s="20">
        <f t="shared" si="179"/>
        <v>-15.624367460108411</v>
      </c>
      <c r="Q671" s="20">
        <f t="shared" si="174"/>
        <v>-0.30373429188710066</v>
      </c>
      <c r="R671" s="20">
        <f t="shared" si="175"/>
        <v>-6.6129826232767401</v>
      </c>
      <c r="S671" s="20">
        <f t="shared" si="180"/>
        <v>78.904077769767383</v>
      </c>
      <c r="T671" s="1">
        <f t="shared" si="181"/>
        <v>0</v>
      </c>
    </row>
    <row r="672" spans="1:20" x14ac:dyDescent="0.25">
      <c r="A672" s="20">
        <f t="shared" si="176"/>
        <v>6.6699999999999022</v>
      </c>
      <c r="C672" s="20">
        <f t="shared" si="166"/>
        <v>23.009214949891788</v>
      </c>
      <c r="D672" s="20">
        <f t="shared" si="169"/>
        <v>0.11372095365072811</v>
      </c>
      <c r="E672" s="20">
        <f t="shared" si="170"/>
        <v>2.4759624134711107</v>
      </c>
      <c r="F672" s="20">
        <f t="shared" si="171"/>
        <v>9.5525601066611607E-2</v>
      </c>
      <c r="G672" s="20">
        <f t="shared" si="172"/>
        <v>2.0798084273157329</v>
      </c>
      <c r="I672" s="20">
        <f t="shared" si="167"/>
        <v>-0.75038761448462099</v>
      </c>
      <c r="K672" s="20">
        <f t="shared" si="177"/>
        <v>16.829505860768577</v>
      </c>
      <c r="L672" s="20">
        <f t="shared" si="168"/>
        <v>-1.8037263442023388E-2</v>
      </c>
      <c r="M672" s="20">
        <f t="shared" si="173"/>
        <v>-0.39271202791254928</v>
      </c>
      <c r="N672" s="1">
        <f t="shared" si="178"/>
        <v>185.7897584169942</v>
      </c>
      <c r="P672" s="20">
        <f t="shared" si="179"/>
        <v>-15.690497286341179</v>
      </c>
      <c r="Q672" s="20">
        <f t="shared" si="174"/>
        <v>-0.30315466859307261</v>
      </c>
      <c r="R672" s="20">
        <f t="shared" si="175"/>
        <v>-6.6003629129778494</v>
      </c>
      <c r="S672" s="20">
        <f t="shared" si="180"/>
        <v>78.74750344603514</v>
      </c>
      <c r="T672" s="1">
        <f t="shared" si="181"/>
        <v>0</v>
      </c>
    </row>
    <row r="673" spans="1:20" x14ac:dyDescent="0.25">
      <c r="A673" s="20">
        <f t="shared" si="176"/>
        <v>6.679999999999902</v>
      </c>
      <c r="C673" s="20">
        <f t="shared" si="166"/>
        <v>23.051408222745255</v>
      </c>
      <c r="D673" s="20">
        <f t="shared" si="169"/>
        <v>0.11413840888802815</v>
      </c>
      <c r="E673" s="20">
        <f t="shared" si="170"/>
        <v>2.4850513583285032</v>
      </c>
      <c r="F673" s="20">
        <f t="shared" si="171"/>
        <v>9.5876263465943648E-2</v>
      </c>
      <c r="G673" s="20">
        <f t="shared" si="172"/>
        <v>2.0874431409959429</v>
      </c>
      <c r="I673" s="20">
        <f t="shared" si="167"/>
        <v>-0.75259809594738614</v>
      </c>
      <c r="K673" s="20">
        <f t="shared" si="177"/>
        <v>16.825578740489451</v>
      </c>
      <c r="L673" s="20">
        <f t="shared" si="168"/>
        <v>-1.7776369626836708E-2</v>
      </c>
      <c r="M673" s="20">
        <f t="shared" si="173"/>
        <v>-0.38703177937811251</v>
      </c>
      <c r="N673" s="1">
        <f t="shared" si="178"/>
        <v>185.9580338400005</v>
      </c>
      <c r="P673" s="20">
        <f t="shared" si="179"/>
        <v>-15.756500915470957</v>
      </c>
      <c r="Q673" s="20">
        <f t="shared" si="174"/>
        <v>-0.30257385755992927</v>
      </c>
      <c r="R673" s="20">
        <f t="shared" si="175"/>
        <v>-6.5877173429115894</v>
      </c>
      <c r="S673" s="20">
        <f t="shared" si="180"/>
        <v>78.590268455026077</v>
      </c>
      <c r="T673" s="1">
        <f t="shared" si="181"/>
        <v>0</v>
      </c>
    </row>
    <row r="674" spans="1:20" x14ac:dyDescent="0.25">
      <c r="A674" s="20">
        <f t="shared" si="176"/>
        <v>6.6899999999999018</v>
      </c>
      <c r="C674" s="20">
        <f t="shared" si="166"/>
        <v>23.093668453632386</v>
      </c>
      <c r="D674" s="20">
        <f t="shared" si="169"/>
        <v>0.11455729323126208</v>
      </c>
      <c r="E674" s="20">
        <f t="shared" si="170"/>
        <v>2.4941714180549117</v>
      </c>
      <c r="F674" s="20">
        <f t="shared" si="171"/>
        <v>9.6228126314260143E-2</v>
      </c>
      <c r="G674" s="20">
        <f t="shared" si="172"/>
        <v>2.0951039911661256</v>
      </c>
      <c r="I674" s="20">
        <f t="shared" si="167"/>
        <v>-0.75479481553774885</v>
      </c>
      <c r="K674" s="20">
        <f t="shared" si="177"/>
        <v>16.821708422695671</v>
      </c>
      <c r="L674" s="20">
        <f t="shared" si="168"/>
        <v>-1.7515259124422866E-2</v>
      </c>
      <c r="M674" s="20">
        <f t="shared" si="173"/>
        <v>-0.38134681307256407</v>
      </c>
      <c r="N674" s="1">
        <f t="shared" si="178"/>
        <v>186.12627027581641</v>
      </c>
      <c r="P674" s="20">
        <f t="shared" si="179"/>
        <v>-15.822378088900072</v>
      </c>
      <c r="Q674" s="20">
        <f t="shared" si="174"/>
        <v>-0.30199186971939296</v>
      </c>
      <c r="R674" s="20">
        <f t="shared" si="175"/>
        <v>-6.5750461510862825</v>
      </c>
      <c r="S674" s="20">
        <f t="shared" si="180"/>
        <v>78.432374060004221</v>
      </c>
      <c r="T674" s="1">
        <f t="shared" si="181"/>
        <v>0</v>
      </c>
    </row>
    <row r="675" spans="1:20" x14ac:dyDescent="0.25">
      <c r="A675" s="20">
        <f t="shared" si="176"/>
        <v>6.6999999999999016</v>
      </c>
      <c r="C675" s="20">
        <f t="shared" si="166"/>
        <v>23.135994025266434</v>
      </c>
      <c r="D675" s="20">
        <f t="shared" si="169"/>
        <v>0.11497759425264928</v>
      </c>
      <c r="E675" s="20">
        <f t="shared" si="170"/>
        <v>2.5033223220694381</v>
      </c>
      <c r="F675" s="20">
        <f t="shared" si="171"/>
        <v>9.658117917222539E-2</v>
      </c>
      <c r="G675" s="20">
        <f t="shared" si="172"/>
        <v>2.1027907505383276</v>
      </c>
      <c r="I675" s="20">
        <f t="shared" si="167"/>
        <v>-0.75697783092619586</v>
      </c>
      <c r="K675" s="20">
        <f t="shared" si="177"/>
        <v>16.817894954564945</v>
      </c>
      <c r="L675" s="20">
        <f t="shared" si="168"/>
        <v>-1.7253933917648498E-2</v>
      </c>
      <c r="M675" s="20">
        <f t="shared" si="173"/>
        <v>-0.37565717216739603</v>
      </c>
      <c r="N675" s="1">
        <f t="shared" si="178"/>
        <v>186.29446829270273</v>
      </c>
      <c r="P675" s="20">
        <f t="shared" si="179"/>
        <v>-15.888128550410935</v>
      </c>
      <c r="Q675" s="20">
        <f t="shared" si="174"/>
        <v>-0.30140871601710623</v>
      </c>
      <c r="R675" s="20">
        <f t="shared" si="175"/>
        <v>-6.5623495758133297</v>
      </c>
      <c r="S675" s="20">
        <f t="shared" si="180"/>
        <v>78.273821526807666</v>
      </c>
      <c r="T675" s="1">
        <f t="shared" si="181"/>
        <v>0</v>
      </c>
    </row>
    <row r="676" spans="1:20" x14ac:dyDescent="0.25">
      <c r="A676" s="20">
        <f t="shared" si="176"/>
        <v>6.7099999999999014</v>
      </c>
      <c r="C676" s="20">
        <f t="shared" si="166"/>
        <v>23.178383332494246</v>
      </c>
      <c r="D676" s="20">
        <f t="shared" si="169"/>
        <v>0.11539929953319392</v>
      </c>
      <c r="E676" s="20">
        <f t="shared" si="170"/>
        <v>2.5125037999824498</v>
      </c>
      <c r="F676" s="20">
        <f t="shared" si="171"/>
        <v>9.6935411607882882E-2</v>
      </c>
      <c r="G676" s="20">
        <f t="shared" si="172"/>
        <v>2.1105031919852575</v>
      </c>
      <c r="I676" s="20">
        <f t="shared" si="167"/>
        <v>-0.75914719997444124</v>
      </c>
      <c r="K676" s="20">
        <f t="shared" si="177"/>
        <v>16.814138382843272</v>
      </c>
      <c r="L676" s="20">
        <f t="shared" si="168"/>
        <v>-1.6992396091605147E-2</v>
      </c>
      <c r="M676" s="20">
        <f t="shared" si="173"/>
        <v>-0.36996290205976806</v>
      </c>
      <c r="N676" s="1">
        <f t="shared" si="178"/>
        <v>186.46262845938978</v>
      </c>
      <c r="P676" s="20">
        <f t="shared" si="179"/>
        <v>-15.953752046169068</v>
      </c>
      <c r="Q676" s="20">
        <f t="shared" si="174"/>
        <v>-0.30082440741174921</v>
      </c>
      <c r="R676" s="20">
        <f t="shared" si="175"/>
        <v>-6.5496278556879863</v>
      </c>
      <c r="S676" s="20">
        <f t="shared" si="180"/>
        <v>78.11461212382477</v>
      </c>
      <c r="T676" s="1">
        <f t="shared" si="181"/>
        <v>0</v>
      </c>
    </row>
    <row r="677" spans="1:20" x14ac:dyDescent="0.25">
      <c r="A677" s="20">
        <f t="shared" si="176"/>
        <v>6.7199999999999012</v>
      </c>
      <c r="C677" s="20">
        <f t="shared" si="166"/>
        <v>23.220834782265221</v>
      </c>
      <c r="D677" s="20">
        <f t="shared" si="169"/>
        <v>0.11582239666303355</v>
      </c>
      <c r="E677" s="20">
        <f t="shared" si="170"/>
        <v>2.5217155816031691</v>
      </c>
      <c r="F677" s="20">
        <f t="shared" si="171"/>
        <v>9.7290813196948184E-2</v>
      </c>
      <c r="G677" s="20">
        <f t="shared" si="172"/>
        <v>2.1182410885466618</v>
      </c>
      <c r="I677" s="20">
        <f t="shared" si="167"/>
        <v>-0.7613029807231898</v>
      </c>
      <c r="K677" s="20">
        <f t="shared" si="177"/>
        <v>16.810438753822673</v>
      </c>
      <c r="L677" s="20">
        <f t="shared" si="168"/>
        <v>-1.6730647832056342E-2</v>
      </c>
      <c r="M677" s="20">
        <f t="shared" si="173"/>
        <v>-0.36426405033869674</v>
      </c>
      <c r="N677" s="1">
        <f t="shared" si="178"/>
        <v>186.63075134507312</v>
      </c>
      <c r="P677" s="20">
        <f t="shared" si="179"/>
        <v>-16.019248324725947</v>
      </c>
      <c r="Q677" s="20">
        <f t="shared" si="174"/>
        <v>-0.30023895487416968</v>
      </c>
      <c r="R677" s="20">
        <f t="shared" si="175"/>
        <v>-6.5368812295704268</v>
      </c>
      <c r="S677" s="20">
        <f t="shared" si="180"/>
        <v>77.954747121970286</v>
      </c>
      <c r="T677" s="1">
        <f t="shared" si="181"/>
        <v>0</v>
      </c>
    </row>
    <row r="678" spans="1:20" x14ac:dyDescent="0.25">
      <c r="A678" s="20">
        <f t="shared" si="176"/>
        <v>6.729999999999901</v>
      </c>
      <c r="C678" s="20">
        <f t="shared" si="166"/>
        <v>23.263346793599041</v>
      </c>
      <c r="D678" s="20">
        <f t="shared" si="169"/>
        <v>0.11624687324178772</v>
      </c>
      <c r="E678" s="20">
        <f t="shared" si="170"/>
        <v>2.5309573969472616</v>
      </c>
      <c r="F678" s="20">
        <f t="shared" si="171"/>
        <v>9.7647373523101683E-2</v>
      </c>
      <c r="G678" s="20">
        <f t="shared" si="172"/>
        <v>2.1260042134356998</v>
      </c>
      <c r="I678" s="20">
        <f t="shared" si="167"/>
        <v>-0.7634452313801563</v>
      </c>
      <c r="K678" s="20">
        <f t="shared" si="177"/>
        <v>16.806796113319287</v>
      </c>
      <c r="L678" s="20">
        <f t="shared" si="168"/>
        <v>-1.6468691423891652E-2</v>
      </c>
      <c r="M678" s="20">
        <f t="shared" si="173"/>
        <v>-0.35856066675139675</v>
      </c>
      <c r="N678" s="1">
        <f t="shared" si="178"/>
        <v>186.79883751940883</v>
      </c>
      <c r="P678" s="20">
        <f t="shared" si="179"/>
        <v>-16.084617137021652</v>
      </c>
      <c r="Q678" s="20">
        <f t="shared" si="174"/>
        <v>-0.29965236938652601</v>
      </c>
      <c r="R678" s="20">
        <f t="shared" si="175"/>
        <v>-6.5241099365670809</v>
      </c>
      <c r="S678" s="20">
        <f t="shared" si="180"/>
        <v>77.794227794661552</v>
      </c>
      <c r="T678" s="1">
        <f t="shared" si="181"/>
        <v>0</v>
      </c>
    </row>
    <row r="679" spans="1:20" x14ac:dyDescent="0.25">
      <c r="A679" s="20">
        <f t="shared" si="176"/>
        <v>6.7399999999999007</v>
      </c>
      <c r="C679" s="20">
        <f t="shared" si="166"/>
        <v>23.305917797552194</v>
      </c>
      <c r="D679" s="20">
        <f t="shared" si="169"/>
        <v>0.11667271687890665</v>
      </c>
      <c r="E679" s="20">
        <f t="shared" si="170"/>
        <v>2.5402289762444297</v>
      </c>
      <c r="F679" s="20">
        <f t="shared" si="171"/>
        <v>9.8005082178281591E-2</v>
      </c>
      <c r="G679" s="20">
        <f t="shared" si="172"/>
        <v>2.1337923400453209</v>
      </c>
      <c r="I679" s="20">
        <f t="shared" si="167"/>
        <v>-0.76557401030833871</v>
      </c>
      <c r="K679" s="20">
        <f t="shared" si="177"/>
        <v>16.803210506651773</v>
      </c>
      <c r="L679" s="20">
        <f t="shared" si="168"/>
        <v>-1.620652924958764E-2</v>
      </c>
      <c r="M679" s="20">
        <f t="shared" si="173"/>
        <v>-0.35285280316977224</v>
      </c>
      <c r="N679" s="1">
        <f t="shared" si="178"/>
        <v>186.96688755250869</v>
      </c>
      <c r="P679" s="20">
        <f t="shared" si="179"/>
        <v>-16.149858236387324</v>
      </c>
      <c r="Q679" s="20">
        <f t="shared" si="174"/>
        <v>-0.29906466194144077</v>
      </c>
      <c r="R679" s="20">
        <f t="shared" si="175"/>
        <v>-6.5113142160122095</v>
      </c>
      <c r="S679" s="20">
        <f t="shared" si="180"/>
        <v>77.633055417794509</v>
      </c>
      <c r="T679" s="1">
        <f t="shared" si="181"/>
        <v>0</v>
      </c>
    </row>
    <row r="680" spans="1:20" x14ac:dyDescent="0.25">
      <c r="A680" s="20">
        <f t="shared" si="176"/>
        <v>6.7499999999999005</v>
      </c>
      <c r="C680" s="20">
        <f t="shared" si="166"/>
        <v>23.348546237183271</v>
      </c>
      <c r="D680" s="20">
        <f t="shared" si="169"/>
        <v>0.11709991519401949</v>
      </c>
      <c r="E680" s="20">
        <f t="shared" si="170"/>
        <v>2.5495300499459939</v>
      </c>
      <c r="F680" s="20">
        <f t="shared" si="171"/>
        <v>9.836392876297638E-2</v>
      </c>
      <c r="G680" s="20">
        <f t="shared" si="172"/>
        <v>2.1416052419546348</v>
      </c>
      <c r="I680" s="20">
        <f t="shared" si="167"/>
        <v>-0.76768937601454246</v>
      </c>
      <c r="K680" s="20">
        <f t="shared" si="177"/>
        <v>16.799681978620075</v>
      </c>
      <c r="L680" s="20">
        <f t="shared" si="168"/>
        <v>-1.5944163787675575E-2</v>
      </c>
      <c r="M680" s="20">
        <f t="shared" si="173"/>
        <v>-0.34714051355705583</v>
      </c>
      <c r="N680" s="1">
        <f t="shared" si="178"/>
        <v>187.13490201493505</v>
      </c>
      <c r="P680" s="20">
        <f t="shared" si="179"/>
        <v>-16.214971378547446</v>
      </c>
      <c r="Q680" s="20">
        <f t="shared" si="174"/>
        <v>-0.29847584354116824</v>
      </c>
      <c r="R680" s="20">
        <f t="shared" si="175"/>
        <v>-6.4984943074497767</v>
      </c>
      <c r="S680" s="20">
        <f t="shared" si="180"/>
        <v>77.471231269719837</v>
      </c>
      <c r="T680" s="1">
        <f t="shared" si="181"/>
        <v>0</v>
      </c>
    </row>
    <row r="681" spans="1:20" x14ac:dyDescent="0.25">
      <c r="A681" s="20">
        <f t="shared" si="176"/>
        <v>6.7599999999999003</v>
      </c>
      <c r="C681" s="20">
        <f t="shared" si="166"/>
        <v>23.391230567517201</v>
      </c>
      <c r="D681" s="20">
        <f t="shared" si="169"/>
        <v>0.11752845581728286</v>
      </c>
      <c r="E681" s="20">
        <f t="shared" si="170"/>
        <v>2.5588603487324812</v>
      </c>
      <c r="F681" s="20">
        <f t="shared" si="171"/>
        <v>9.8723902886517612E-2</v>
      </c>
      <c r="G681" s="20">
        <f t="shared" si="172"/>
        <v>2.1494426929352843</v>
      </c>
      <c r="I681" s="20">
        <f t="shared" si="167"/>
        <v>-0.76979138713815176</v>
      </c>
      <c r="K681" s="20">
        <f t="shared" si="177"/>
        <v>16.796210573484505</v>
      </c>
      <c r="L681" s="20">
        <f t="shared" si="168"/>
        <v>-1.5681597611216819E-2</v>
      </c>
      <c r="M681" s="20">
        <f t="shared" si="173"/>
        <v>-0.34142385393461394</v>
      </c>
      <c r="N681" s="1">
        <f t="shared" si="178"/>
        <v>187.30288147769556</v>
      </c>
      <c r="P681" s="20">
        <f t="shared" si="179"/>
        <v>-16.279956321621945</v>
      </c>
      <c r="Q681" s="20">
        <f t="shared" si="174"/>
        <v>-0.29788592519677193</v>
      </c>
      <c r="R681" s="20">
        <f t="shared" si="175"/>
        <v>-6.4856504506155437</v>
      </c>
      <c r="S681" s="20">
        <f t="shared" si="180"/>
        <v>77.308756631218998</v>
      </c>
      <c r="T681" s="1">
        <f t="shared" si="181"/>
        <v>0</v>
      </c>
    </row>
    <row r="682" spans="1:20" x14ac:dyDescent="0.25">
      <c r="A682" s="20">
        <f t="shared" si="176"/>
        <v>6.7699999999999001</v>
      </c>
      <c r="C682" s="20">
        <f t="shared" si="166"/>
        <v>23.433969255508323</v>
      </c>
      <c r="D682" s="20">
        <f t="shared" si="169"/>
        <v>0.11795832638972875</v>
      </c>
      <c r="E682" s="20">
        <f t="shared" si="170"/>
        <v>2.568219603521201</v>
      </c>
      <c r="F682" s="20">
        <f t="shared" si="171"/>
        <v>9.9084994167372153E-2</v>
      </c>
      <c r="G682" s="20">
        <f t="shared" si="172"/>
        <v>2.1573044669578088</v>
      </c>
      <c r="I682" s="20">
        <f t="shared" si="167"/>
        <v>-0.77188010244014604</v>
      </c>
      <c r="K682" s="20">
        <f t="shared" si="177"/>
        <v>16.792796334945159</v>
      </c>
      <c r="L682" s="20">
        <f t="shared" si="168"/>
        <v>-1.5418833386285052E-2</v>
      </c>
      <c r="M682" s="20">
        <f t="shared" si="173"/>
        <v>-0.33570288234890167</v>
      </c>
      <c r="N682" s="1">
        <f t="shared" si="178"/>
        <v>187.47082651223772</v>
      </c>
      <c r="P682" s="20">
        <f t="shared" si="179"/>
        <v>-16.344812826128102</v>
      </c>
      <c r="Q682" s="20">
        <f t="shared" si="174"/>
        <v>-0.29729491792731522</v>
      </c>
      <c r="R682" s="20">
        <f t="shared" si="175"/>
        <v>-6.4727828854194476</v>
      </c>
      <c r="S682" s="20">
        <f t="shared" si="180"/>
        <v>77.145632785480245</v>
      </c>
      <c r="T682" s="1">
        <f t="shared" si="181"/>
        <v>0</v>
      </c>
    </row>
    <row r="683" spans="1:20" x14ac:dyDescent="0.25">
      <c r="A683" s="20">
        <f t="shared" si="176"/>
        <v>6.7799999999998999</v>
      </c>
      <c r="C683" s="20">
        <f t="shared" si="166"/>
        <v>23.476760780002426</v>
      </c>
      <c r="D683" s="20">
        <f t="shared" si="169"/>
        <v>0.11838951456361232</v>
      </c>
      <c r="E683" s="20">
        <f t="shared" si="170"/>
        <v>2.577607545473815</v>
      </c>
      <c r="F683" s="20">
        <f t="shared" si="171"/>
        <v>9.9447192233434359E-2</v>
      </c>
      <c r="G683" s="20">
        <f t="shared" si="172"/>
        <v>2.1651903381980047</v>
      </c>
      <c r="I683" s="20">
        <f t="shared" si="167"/>
        <v>-0.77395558079235749</v>
      </c>
      <c r="K683" s="20">
        <f t="shared" si="177"/>
        <v>16.789439306121668</v>
      </c>
      <c r="L683" s="20">
        <f t="shared" si="168"/>
        <v>-1.5155873870456429E-2</v>
      </c>
      <c r="M683" s="20">
        <f t="shared" si="173"/>
        <v>-0.32997765883858982</v>
      </c>
      <c r="N683" s="1">
        <f t="shared" si="178"/>
        <v>187.63873769044307</v>
      </c>
      <c r="P683" s="20">
        <f t="shared" si="179"/>
        <v>-16.409540654982298</v>
      </c>
      <c r="Q683" s="20">
        <f t="shared" si="174"/>
        <v>-0.29670283275906312</v>
      </c>
      <c r="R683" s="20">
        <f t="shared" si="175"/>
        <v>-6.4598918519282194</v>
      </c>
      <c r="S683" s="20">
        <f t="shared" si="180"/>
        <v>76.981861018074696</v>
      </c>
      <c r="T683" s="1">
        <f t="shared" si="181"/>
        <v>0</v>
      </c>
    </row>
    <row r="684" spans="1:20" x14ac:dyDescent="0.25">
      <c r="A684" s="20">
        <f t="shared" si="176"/>
        <v>6.7899999999998997</v>
      </c>
      <c r="C684" s="20">
        <f t="shared" si="166"/>
        <v>23.519603631697766</v>
      </c>
      <c r="D684" s="20">
        <f t="shared" si="169"/>
        <v>0.11882200800275944</v>
      </c>
      <c r="E684" s="20">
        <f t="shared" si="170"/>
        <v>2.5870239060039069</v>
      </c>
      <c r="F684" s="20">
        <f t="shared" si="171"/>
        <v>9.9810486722317932E-2</v>
      </c>
      <c r="G684" s="20">
        <f t="shared" si="172"/>
        <v>2.1731000810432817</v>
      </c>
      <c r="I684" s="20">
        <f t="shared" si="167"/>
        <v>-0.77601788116696657</v>
      </c>
      <c r="K684" s="20">
        <f t="shared" si="177"/>
        <v>16.786139529533283</v>
      </c>
      <c r="L684" s="20">
        <f t="shared" si="168"/>
        <v>-1.4892721911307305E-2</v>
      </c>
      <c r="M684" s="20">
        <f t="shared" si="173"/>
        <v>-0.32424824540185732</v>
      </c>
      <c r="N684" s="1">
        <f t="shared" si="178"/>
        <v>187.80661558462134</v>
      </c>
      <c r="P684" s="20">
        <f t="shared" si="179"/>
        <v>-16.474139573501581</v>
      </c>
      <c r="Q684" s="20">
        <f t="shared" si="174"/>
        <v>-0.29610968072469523</v>
      </c>
      <c r="R684" s="20">
        <f t="shared" si="175"/>
        <v>-6.4469775903482525</v>
      </c>
      <c r="S684" s="20">
        <f t="shared" si="180"/>
        <v>76.817442616932283</v>
      </c>
      <c r="T684" s="1">
        <f t="shared" si="181"/>
        <v>0</v>
      </c>
    </row>
    <row r="685" spans="1:20" x14ac:dyDescent="0.25">
      <c r="A685" s="20">
        <f t="shared" si="176"/>
        <v>6.7999999999998995</v>
      </c>
      <c r="C685" s="20">
        <f t="shared" ref="C685:C748" si="182">SQRT((K685^2)+(P685^2))</f>
        <v>23.562496313105079</v>
      </c>
      <c r="D685" s="20">
        <f t="shared" si="169"/>
        <v>0.11925579438291349</v>
      </c>
      <c r="E685" s="20">
        <f t="shared" si="170"/>
        <v>2.5964684167845307</v>
      </c>
      <c r="F685" s="20">
        <f t="shared" si="171"/>
        <v>0.10017486728164735</v>
      </c>
      <c r="G685" s="20">
        <f t="shared" si="172"/>
        <v>2.1810334700990062</v>
      </c>
      <c r="I685" s="20">
        <f t="shared" ref="I685:I748" si="183">ATAN(P685/K685)</f>
        <v>-0.77806706262623437</v>
      </c>
      <c r="K685" s="20">
        <f t="shared" si="177"/>
        <v>16.782897047079263</v>
      </c>
      <c r="L685" s="20">
        <f t="shared" ref="L685:L748" si="184">-(D685*COS(I685))-(F685*SIN(I685))</f>
        <v>-1.462938044491946E-2</v>
      </c>
      <c r="M685" s="20">
        <f t="shared" si="173"/>
        <v>-0.31851470596384629</v>
      </c>
      <c r="N685" s="1">
        <f t="shared" si="178"/>
        <v>187.97446076750441</v>
      </c>
      <c r="P685" s="20">
        <f t="shared" si="179"/>
        <v>-16.538609349405064</v>
      </c>
      <c r="Q685" s="20">
        <f t="shared" si="174"/>
        <v>-0.29551547286253105</v>
      </c>
      <c r="R685" s="20">
        <f t="shared" si="175"/>
        <v>-6.4340403410087319</v>
      </c>
      <c r="S685" s="20">
        <f t="shared" si="180"/>
        <v>76.65237887231774</v>
      </c>
      <c r="T685" s="1">
        <f t="shared" si="181"/>
        <v>0</v>
      </c>
    </row>
    <row r="686" spans="1:20" x14ac:dyDescent="0.25">
      <c r="A686" s="20">
        <f t="shared" si="176"/>
        <v>6.8099999999998992</v>
      </c>
      <c r="C686" s="20">
        <f t="shared" si="182"/>
        <v>23.605437338506672</v>
      </c>
      <c r="D686" s="20">
        <f t="shared" si="169"/>
        <v>0.11969086139208243</v>
      </c>
      <c r="E686" s="20">
        <f t="shared" si="170"/>
        <v>2.6059408097557681</v>
      </c>
      <c r="F686" s="20">
        <f t="shared" si="171"/>
        <v>0.10054032356934924</v>
      </c>
      <c r="G686" s="20">
        <f t="shared" si="172"/>
        <v>2.1889902801948451</v>
      </c>
      <c r="I686" s="20">
        <f t="shared" si="183"/>
        <v>-0.78010318431246439</v>
      </c>
      <c r="K686" s="20">
        <f t="shared" si="177"/>
        <v>16.779711900019624</v>
      </c>
      <c r="L686" s="20">
        <f t="shared" si="184"/>
        <v>-1.4365852494393802E-2</v>
      </c>
      <c r="M686" s="20">
        <f t="shared" si="173"/>
        <v>-0.31277710634430228</v>
      </c>
      <c r="N686" s="1">
        <f t="shared" si="178"/>
        <v>188.14227381223989</v>
      </c>
      <c r="P686" s="20">
        <f t="shared" si="179"/>
        <v>-16.602949752815153</v>
      </c>
      <c r="Q686" s="20">
        <f t="shared" si="174"/>
        <v>-0.29492022021576492</v>
      </c>
      <c r="R686" s="20">
        <f t="shared" si="175"/>
        <v>-6.42108034434498</v>
      </c>
      <c r="S686" s="20">
        <f t="shared" si="180"/>
        <v>76.486671076806644</v>
      </c>
      <c r="T686" s="1">
        <f t="shared" si="181"/>
        <v>0</v>
      </c>
    </row>
    <row r="687" spans="1:20" x14ac:dyDescent="0.25">
      <c r="A687" s="20">
        <f t="shared" si="176"/>
        <v>6.819999999999899</v>
      </c>
      <c r="C687" s="20">
        <f t="shared" si="182"/>
        <v>23.648425233914562</v>
      </c>
      <c r="D687" s="20">
        <f t="shared" si="169"/>
        <v>0.12012719673088439</v>
      </c>
      <c r="E687" s="20">
        <f t="shared" si="170"/>
        <v>2.6154408171322534</v>
      </c>
      <c r="F687" s="20">
        <f t="shared" si="171"/>
        <v>0.10090684525394289</v>
      </c>
      <c r="G687" s="20">
        <f t="shared" si="172"/>
        <v>2.1969702863910929</v>
      </c>
      <c r="I687" s="20">
        <f t="shared" si="183"/>
        <v>-0.78212630543819583</v>
      </c>
      <c r="K687" s="20">
        <f t="shared" si="177"/>
        <v>16.776584128956181</v>
      </c>
      <c r="L687" s="20">
        <f t="shared" si="184"/>
        <v>-1.4102141168371593E-2</v>
      </c>
      <c r="M687" s="20">
        <f t="shared" si="173"/>
        <v>-0.30703551422537761</v>
      </c>
      <c r="N687" s="1">
        <f t="shared" si="178"/>
        <v>188.31005529238476</v>
      </c>
      <c r="P687" s="20">
        <f t="shared" si="179"/>
        <v>-16.667160556258604</v>
      </c>
      <c r="Q687" s="20">
        <f t="shared" si="174"/>
        <v>-0.29432393383171407</v>
      </c>
      <c r="R687" s="20">
        <f t="shared" si="175"/>
        <v>-6.4080978408820828</v>
      </c>
      <c r="S687" s="20">
        <f t="shared" si="180"/>
        <v>76.320320525261266</v>
      </c>
      <c r="T687" s="1">
        <f t="shared" si="181"/>
        <v>0</v>
      </c>
    </row>
    <row r="688" spans="1:20" x14ac:dyDescent="0.25">
      <c r="A688" s="20">
        <f t="shared" si="176"/>
        <v>6.8299999999998988</v>
      </c>
      <c r="C688" s="20">
        <f t="shared" si="182"/>
        <v>23.691458537027767</v>
      </c>
      <c r="D688" s="20">
        <f t="shared" si="169"/>
        <v>0.12056478811289369</v>
      </c>
      <c r="E688" s="20">
        <f t="shared" si="170"/>
        <v>2.6249681714107052</v>
      </c>
      <c r="F688" s="20">
        <f t="shared" si="171"/>
        <v>0.1012744220148307</v>
      </c>
      <c r="G688" s="20">
        <f t="shared" si="172"/>
        <v>2.2049732639849924</v>
      </c>
      <c r="I688" s="20">
        <f t="shared" si="183"/>
        <v>-0.78413648527662039</v>
      </c>
      <c r="K688" s="20">
        <f t="shared" si="177"/>
        <v>16.773513773813928</v>
      </c>
      <c r="L688" s="20">
        <f t="shared" si="184"/>
        <v>-1.3838249659564358E-2</v>
      </c>
      <c r="M688" s="20">
        <f t="shared" si="173"/>
        <v>-0.30128999911962462</v>
      </c>
      <c r="N688" s="1">
        <f t="shared" si="178"/>
        <v>188.47780578189861</v>
      </c>
      <c r="P688" s="20">
        <f t="shared" si="179"/>
        <v>-16.731241534667426</v>
      </c>
      <c r="Q688" s="20">
        <f t="shared" si="174"/>
        <v>-0.29372662476107586</v>
      </c>
      <c r="R688" s="20">
        <f t="shared" si="175"/>
        <v>-6.3950930712187217</v>
      </c>
      <c r="S688" s="20">
        <f t="shared" si="180"/>
        <v>76.153328514806631</v>
      </c>
      <c r="T688" s="1">
        <f t="shared" si="181"/>
        <v>0</v>
      </c>
    </row>
    <row r="689" spans="1:20" x14ac:dyDescent="0.25">
      <c r="A689" s="20">
        <f t="shared" si="176"/>
        <v>6.8399999999998986</v>
      </c>
      <c r="C689" s="20">
        <f t="shared" si="182"/>
        <v>23.73453579718873</v>
      </c>
      <c r="D689" s="20">
        <f t="shared" si="169"/>
        <v>0.12100362326498551</v>
      </c>
      <c r="E689" s="20">
        <f t="shared" si="170"/>
        <v>2.6345226053774335</v>
      </c>
      <c r="F689" s="20">
        <f t="shared" si="171"/>
        <v>0.10164304354258784</v>
      </c>
      <c r="G689" s="20">
        <f t="shared" si="172"/>
        <v>2.212998988517044</v>
      </c>
      <c r="I689" s="20">
        <f t="shared" si="183"/>
        <v>-0.78613378315222349</v>
      </c>
      <c r="K689" s="20">
        <f t="shared" si="177"/>
        <v>16.770500873822733</v>
      </c>
      <c r="L689" s="20">
        <f t="shared" si="184"/>
        <v>-1.3574181243291614E-2</v>
      </c>
      <c r="M689" s="20">
        <f t="shared" si="173"/>
        <v>-0.29554063233815836</v>
      </c>
      <c r="N689" s="1">
        <f t="shared" si="178"/>
        <v>188.64552585513678</v>
      </c>
      <c r="P689" s="20">
        <f t="shared" si="179"/>
        <v>-16.795192465379614</v>
      </c>
      <c r="Q689" s="20">
        <f t="shared" si="174"/>
        <v>-0.29312830405719709</v>
      </c>
      <c r="R689" s="20">
        <f t="shared" si="175"/>
        <v>-6.3820662760112583</v>
      </c>
      <c r="S689" s="20">
        <f t="shared" si="180"/>
        <v>75.985696344806399</v>
      </c>
      <c r="T689" s="1">
        <f t="shared" si="181"/>
        <v>0</v>
      </c>
    </row>
    <row r="690" spans="1:20" x14ac:dyDescent="0.25">
      <c r="A690" s="20">
        <f t="shared" si="176"/>
        <v>6.8499999999998984</v>
      </c>
      <c r="C690" s="20">
        <f t="shared" si="182"/>
        <v>23.777655575338912</v>
      </c>
      <c r="D690" s="20">
        <f t="shared" si="169"/>
        <v>0.12144368992768043</v>
      </c>
      <c r="E690" s="20">
        <f t="shared" si="170"/>
        <v>2.6441038521158378</v>
      </c>
      <c r="F690" s="20">
        <f t="shared" si="171"/>
        <v>0.10201269953925156</v>
      </c>
      <c r="G690" s="20">
        <f t="shared" si="172"/>
        <v>2.2210472357773039</v>
      </c>
      <c r="I690" s="20">
        <f t="shared" si="183"/>
        <v>-0.78811825843164285</v>
      </c>
      <c r="K690" s="20">
        <f t="shared" si="177"/>
        <v>16.767545467499353</v>
      </c>
      <c r="L690" s="20">
        <f t="shared" si="184"/>
        <v>-1.3309939276027583E-2</v>
      </c>
      <c r="M690" s="20">
        <f t="shared" si="173"/>
        <v>-0.28978748695901552</v>
      </c>
      <c r="N690" s="1">
        <f t="shared" si="178"/>
        <v>188.8132160868434</v>
      </c>
      <c r="P690" s="20">
        <f t="shared" si="179"/>
        <v>-16.859013128139726</v>
      </c>
      <c r="Q690" s="20">
        <f t="shared" si="174"/>
        <v>-0.29252898277535361</v>
      </c>
      <c r="R690" s="20">
        <f t="shared" si="175"/>
        <v>-6.3690176959580587</v>
      </c>
      <c r="S690" s="20">
        <f t="shared" si="180"/>
        <v>75.817425316838808</v>
      </c>
      <c r="T690" s="1">
        <f t="shared" si="181"/>
        <v>0</v>
      </c>
    </row>
    <row r="691" spans="1:20" x14ac:dyDescent="0.25">
      <c r="A691" s="20">
        <f t="shared" si="176"/>
        <v>6.8599999999998982</v>
      </c>
      <c r="C691" s="20">
        <f t="shared" si="182"/>
        <v>23.820816443973662</v>
      </c>
      <c r="D691" s="20">
        <f t="shared" si="169"/>
        <v>0.12188497585548819</v>
      </c>
      <c r="E691" s="20">
        <f t="shared" si="170"/>
        <v>2.6537116450138947</v>
      </c>
      <c r="F691" s="20">
        <f t="shared" si="171"/>
        <v>0.10238337971861008</v>
      </c>
      <c r="G691" s="20">
        <f t="shared" si="172"/>
        <v>2.2291177818116719</v>
      </c>
      <c r="I691" s="20">
        <f t="shared" si="183"/>
        <v>-0.79008997051474583</v>
      </c>
      <c r="K691" s="20">
        <f t="shared" si="177"/>
        <v>16.764647592629764</v>
      </c>
      <c r="L691" s="20">
        <f t="shared" si="184"/>
        <v>-1.3045527193955742E-2</v>
      </c>
      <c r="M691" s="20">
        <f t="shared" si="173"/>
        <v>-0.28403063779568349</v>
      </c>
      <c r="N691" s="1">
        <f t="shared" si="178"/>
        <v>188.98087705214405</v>
      </c>
      <c r="P691" s="20">
        <f t="shared" si="179"/>
        <v>-16.922703305099308</v>
      </c>
      <c r="Q691" s="20">
        <f t="shared" si="174"/>
        <v>-0.29192867197203998</v>
      </c>
      <c r="R691" s="20">
        <f t="shared" si="175"/>
        <v>-6.3559475717840188</v>
      </c>
      <c r="S691" s="20">
        <f t="shared" si="180"/>
        <v>75.648516734672626</v>
      </c>
      <c r="T691" s="1">
        <f t="shared" si="181"/>
        <v>0</v>
      </c>
    </row>
    <row r="692" spans="1:20" x14ac:dyDescent="0.25">
      <c r="A692" s="20">
        <f t="shared" si="176"/>
        <v>6.869999999999898</v>
      </c>
      <c r="C692" s="20">
        <f t="shared" si="182"/>
        <v>23.864016987096242</v>
      </c>
      <c r="D692" s="20">
        <f t="shared" si="169"/>
        <v>0.12232746881725017</v>
      </c>
      <c r="E692" s="20">
        <f t="shared" si="170"/>
        <v>2.6633457177716124</v>
      </c>
      <c r="F692" s="20">
        <f t="shared" si="171"/>
        <v>0.10275507380649014</v>
      </c>
      <c r="G692" s="20">
        <f t="shared" si="172"/>
        <v>2.2372104029281545</v>
      </c>
      <c r="I692" s="20">
        <f t="shared" si="183"/>
        <v>-0.79204897882591618</v>
      </c>
      <c r="K692" s="20">
        <f t="shared" si="177"/>
        <v>16.761807286251805</v>
      </c>
      <c r="L692" s="20">
        <f t="shared" si="184"/>
        <v>-1.2780948511532816E-2</v>
      </c>
      <c r="M692" s="20">
        <f t="shared" si="173"/>
        <v>-0.27827016136583532</v>
      </c>
      <c r="N692" s="1">
        <f t="shared" si="178"/>
        <v>189.14850932653846</v>
      </c>
      <c r="P692" s="20">
        <f t="shared" si="179"/>
        <v>-16.98626278081715</v>
      </c>
      <c r="Q692" s="20">
        <f t="shared" si="174"/>
        <v>-0.29132738270427122</v>
      </c>
      <c r="R692" s="20">
        <f t="shared" si="175"/>
        <v>-6.3428561442253697</v>
      </c>
      <c r="S692" s="20">
        <f t="shared" si="180"/>
        <v>75.478971904243053</v>
      </c>
      <c r="T692" s="1">
        <f t="shared" si="181"/>
        <v>0</v>
      </c>
    </row>
    <row r="693" spans="1:20" x14ac:dyDescent="0.25">
      <c r="A693" s="20">
        <f t="shared" si="176"/>
        <v>6.8799999999998978</v>
      </c>
      <c r="C693" s="20">
        <f t="shared" si="182"/>
        <v>23.907255800171235</v>
      </c>
      <c r="D693" s="20">
        <f t="shared" si="169"/>
        <v>0.12277115659648213</v>
      </c>
      <c r="E693" s="20">
        <f t="shared" si="170"/>
        <v>2.6730058044084943</v>
      </c>
      <c r="F693" s="20">
        <f t="shared" si="171"/>
        <v>0.10312777154104499</v>
      </c>
      <c r="G693" s="20">
        <f t="shared" si="172"/>
        <v>2.245324875703135</v>
      </c>
      <c r="I693" s="20">
        <f t="shared" si="183"/>
        <v>-0.79399534280555406</v>
      </c>
      <c r="K693" s="20">
        <f t="shared" si="177"/>
        <v>16.759024584638148</v>
      </c>
      <c r="L693" s="20">
        <f t="shared" si="184"/>
        <v>-1.2516206820060882E-2</v>
      </c>
      <c r="M693" s="20">
        <f t="shared" si="173"/>
        <v>-0.27250613586024131</v>
      </c>
      <c r="N693" s="1">
        <f t="shared" si="178"/>
        <v>189.31611348589291</v>
      </c>
      <c r="P693" s="20">
        <f t="shared" si="179"/>
        <v>-17.049691342259404</v>
      </c>
      <c r="Q693" s="20">
        <f t="shared" si="174"/>
        <v>-0.29072512602889278</v>
      </c>
      <c r="R693" s="20">
        <f t="shared" si="175"/>
        <v>-6.3297436540146483</v>
      </c>
      <c r="S693" s="20">
        <f t="shared" si="180"/>
        <v>75.308792133627676</v>
      </c>
      <c r="T693" s="1">
        <f t="shared" si="181"/>
        <v>0</v>
      </c>
    </row>
    <row r="694" spans="1:20" x14ac:dyDescent="0.25">
      <c r="A694" s="20">
        <f t="shared" si="176"/>
        <v>6.8899999999998975</v>
      </c>
      <c r="C694" s="20">
        <f t="shared" si="182"/>
        <v>23.950531490077161</v>
      </c>
      <c r="D694" s="20">
        <f t="shared" si="169"/>
        <v>0.12321602699171509</v>
      </c>
      <c r="E694" s="20">
        <f t="shared" si="170"/>
        <v>2.6826916392709577</v>
      </c>
      <c r="F694" s="20">
        <f t="shared" si="171"/>
        <v>0.10350146267304068</v>
      </c>
      <c r="G694" s="20">
        <f t="shared" si="172"/>
        <v>2.2534609769876046</v>
      </c>
      <c r="I694" s="20">
        <f t="shared" si="183"/>
        <v>-0.79592912190178056</v>
      </c>
      <c r="K694" s="20">
        <f t="shared" si="177"/>
        <v>16.756299523279544</v>
      </c>
      <c r="L694" s="20">
        <f t="shared" si="184"/>
        <v>-1.225130578626854E-2</v>
      </c>
      <c r="M694" s="20">
        <f t="shared" si="173"/>
        <v>-0.26673864111187767</v>
      </c>
      <c r="N694" s="1">
        <f t="shared" si="178"/>
        <v>189.4836901064325</v>
      </c>
      <c r="P694" s="20">
        <f t="shared" si="179"/>
        <v>-17.112988778799551</v>
      </c>
      <c r="Q694" s="20">
        <f t="shared" si="174"/>
        <v>-0.29012191300190254</v>
      </c>
      <c r="R694" s="20">
        <f t="shared" si="175"/>
        <v>-6.3166103418659381</v>
      </c>
      <c r="S694" s="20">
        <f t="shared" si="180"/>
        <v>75.137978733022379</v>
      </c>
      <c r="T694" s="1">
        <f t="shared" si="181"/>
        <v>0</v>
      </c>
    </row>
    <row r="695" spans="1:20" x14ac:dyDescent="0.25">
      <c r="A695" s="20">
        <f t="shared" si="176"/>
        <v>6.8999999999998973</v>
      </c>
      <c r="C695" s="20">
        <f t="shared" si="182"/>
        <v>23.993842675058513</v>
      </c>
      <c r="D695" s="20">
        <f t="shared" si="169"/>
        <v>0.12366206781683593</v>
      </c>
      <c r="E695" s="20">
        <f t="shared" si="170"/>
        <v>2.692402957039755</v>
      </c>
      <c r="F695" s="20">
        <f t="shared" si="171"/>
        <v>0.10387613696614219</v>
      </c>
      <c r="G695" s="20">
        <f t="shared" si="172"/>
        <v>2.2616184839133942</v>
      </c>
      <c r="I695" s="20">
        <f t="shared" si="183"/>
        <v>-0.79785037556234639</v>
      </c>
      <c r="K695" s="20">
        <f t="shared" si="177"/>
        <v>16.753632136868426</v>
      </c>
      <c r="L695" s="20">
        <f t="shared" si="184"/>
        <v>-1.1986249150901102E-2</v>
      </c>
      <c r="M695" s="20">
        <f t="shared" si="173"/>
        <v>-0.26096775856523191</v>
      </c>
      <c r="N695" s="1">
        <f t="shared" si="178"/>
        <v>189.65123976473325</v>
      </c>
      <c r="P695" s="20">
        <f t="shared" si="179"/>
        <v>-17.17615488221821</v>
      </c>
      <c r="Q695" s="20">
        <f t="shared" si="174"/>
        <v>-0.28951775467778212</v>
      </c>
      <c r="R695" s="20">
        <f t="shared" si="175"/>
        <v>-6.3034564484603122</v>
      </c>
      <c r="S695" s="20">
        <f t="shared" si="180"/>
        <v>74.966533014717285</v>
      </c>
      <c r="T695" s="1">
        <f t="shared" si="181"/>
        <v>0</v>
      </c>
    </row>
    <row r="696" spans="1:20" x14ac:dyDescent="0.25">
      <c r="A696" s="20">
        <f t="shared" si="176"/>
        <v>6.9099999999998971</v>
      </c>
      <c r="C696" s="20">
        <f t="shared" si="182"/>
        <v>24.037187984677107</v>
      </c>
      <c r="D696" s="20">
        <f t="shared" si="169"/>
        <v>0.12410926690142692</v>
      </c>
      <c r="E696" s="20">
        <f t="shared" si="170"/>
        <v>2.7021394927373596</v>
      </c>
      <c r="F696" s="20">
        <f t="shared" si="171"/>
        <v>0.10425178419719862</v>
      </c>
      <c r="G696" s="20">
        <f t="shared" si="172"/>
        <v>2.2697971738993821</v>
      </c>
      <c r="I696" s="20">
        <f t="shared" si="183"/>
        <v>-0.79975916322674045</v>
      </c>
      <c r="K696" s="20">
        <f t="shared" si="177"/>
        <v>16.751022459282773</v>
      </c>
      <c r="L696" s="20">
        <f t="shared" si="184"/>
        <v>-1.1721040727319554E-2</v>
      </c>
      <c r="M696" s="20">
        <f t="shared" si="173"/>
        <v>-0.25519357124579911</v>
      </c>
      <c r="N696" s="1">
        <f t="shared" si="178"/>
        <v>189.81876303771401</v>
      </c>
      <c r="P696" s="20">
        <f t="shared" si="179"/>
        <v>-17.239189446702813</v>
      </c>
      <c r="Q696" s="20">
        <f t="shared" si="174"/>
        <v>-0.28891266210883798</v>
      </c>
      <c r="R696" s="20">
        <f t="shared" si="175"/>
        <v>-6.2902822144314827</v>
      </c>
      <c r="S696" s="20">
        <f t="shared" si="180"/>
        <v>74.794456293072685</v>
      </c>
      <c r="T696" s="1">
        <f t="shared" si="181"/>
        <v>0</v>
      </c>
    </row>
    <row r="697" spans="1:20" x14ac:dyDescent="0.25">
      <c r="A697" s="20">
        <f t="shared" si="176"/>
        <v>6.9199999999998969</v>
      </c>
      <c r="C697" s="20">
        <f t="shared" si="182"/>
        <v>24.080566059762866</v>
      </c>
      <c r="D697" s="20">
        <f t="shared" si="169"/>
        <v>0.12455761209110425</v>
      </c>
      <c r="E697" s="20">
        <f t="shared" si="170"/>
        <v>2.7119009817353419</v>
      </c>
      <c r="F697" s="20">
        <f t="shared" si="171"/>
        <v>0.10462839415652757</v>
      </c>
      <c r="G697" s="20">
        <f t="shared" si="172"/>
        <v>2.2779968246576874</v>
      </c>
      <c r="I697" s="20">
        <f t="shared" si="183"/>
        <v>-0.80165554431849562</v>
      </c>
      <c r="K697" s="20">
        <f t="shared" si="177"/>
        <v>16.748470523570315</v>
      </c>
      <c r="L697" s="20">
        <f t="shared" si="184"/>
        <v>-1.1455684400108981E-2</v>
      </c>
      <c r="M697" s="20">
        <f t="shared" si="173"/>
        <v>-0.24941616372978406</v>
      </c>
      <c r="N697" s="1">
        <f t="shared" si="178"/>
        <v>189.98626050262828</v>
      </c>
      <c r="P697" s="20">
        <f t="shared" si="179"/>
        <v>-17.302092268847129</v>
      </c>
      <c r="Q697" s="20">
        <f t="shared" si="174"/>
        <v>-0.288306646344553</v>
      </c>
      <c r="R697" s="20">
        <f t="shared" si="175"/>
        <v>-6.2770878803516874</v>
      </c>
      <c r="S697" s="20">
        <f t="shared" si="180"/>
        <v>74.621749884494932</v>
      </c>
      <c r="T697" s="1">
        <f t="shared" si="181"/>
        <v>0</v>
      </c>
    </row>
    <row r="698" spans="1:20" x14ac:dyDescent="0.25">
      <c r="A698" s="20">
        <f t="shared" si="176"/>
        <v>6.9299999999998967</v>
      </c>
      <c r="C698" s="20">
        <f t="shared" si="182"/>
        <v>24.123975552363977</v>
      </c>
      <c r="D698" s="20">
        <f t="shared" si="169"/>
        <v>0.12500709124785556</v>
      </c>
      <c r="E698" s="20">
        <f t="shared" si="170"/>
        <v>2.7216871597617147</v>
      </c>
      <c r="F698" s="20">
        <f t="shared" si="171"/>
        <v>0.10500595664819867</v>
      </c>
      <c r="G698" s="20">
        <f t="shared" si="172"/>
        <v>2.2862172141998407</v>
      </c>
      <c r="I698" s="20">
        <f t="shared" si="183"/>
        <v>-0.80353957823768918</v>
      </c>
      <c r="K698" s="20">
        <f t="shared" si="177"/>
        <v>16.745976361933018</v>
      </c>
      <c r="L698" s="20">
        <f t="shared" si="184"/>
        <v>-1.1190184123695684E-2</v>
      </c>
      <c r="M698" s="20">
        <f t="shared" si="173"/>
        <v>-0.2436356221139927</v>
      </c>
      <c r="N698" s="1">
        <f t="shared" si="178"/>
        <v>190.1537327370558</v>
      </c>
      <c r="P698" s="20">
        <f t="shared" si="179"/>
        <v>-17.364863147650645</v>
      </c>
      <c r="Q698" s="20">
        <f t="shared" si="174"/>
        <v>-0.28769971843094733</v>
      </c>
      <c r="R698" s="20">
        <f t="shared" si="175"/>
        <v>-6.2638736867177736</v>
      </c>
      <c r="S698" s="20">
        <f t="shared" si="180"/>
        <v>74.448415107412444</v>
      </c>
      <c r="T698" s="1">
        <f t="shared" si="181"/>
        <v>0</v>
      </c>
    </row>
    <row r="699" spans="1:20" x14ac:dyDescent="0.25">
      <c r="A699" s="20">
        <f t="shared" si="176"/>
        <v>6.9399999999998965</v>
      </c>
      <c r="C699" s="20">
        <f t="shared" si="182"/>
        <v>24.16741512569655</v>
      </c>
      <c r="D699" s="20">
        <f t="shared" si="169"/>
        <v>0.12545769225037653</v>
      </c>
      <c r="E699" s="20">
        <f t="shared" si="170"/>
        <v>2.7314977629082633</v>
      </c>
      <c r="F699" s="20">
        <f t="shared" si="171"/>
        <v>0.10538446149031629</v>
      </c>
      <c r="G699" s="20">
        <f t="shared" si="172"/>
        <v>2.2944581208429411</v>
      </c>
      <c r="I699" s="20">
        <f t="shared" si="183"/>
        <v>-0.80541132435363261</v>
      </c>
      <c r="K699" s="20">
        <f t="shared" si="177"/>
        <v>16.743540005711878</v>
      </c>
      <c r="L699" s="20">
        <f t="shared" si="184"/>
        <v>-1.0924543920974097E-2</v>
      </c>
      <c r="M699" s="20">
        <f t="shared" si="173"/>
        <v>-0.23785203398593724</v>
      </c>
      <c r="N699" s="1">
        <f t="shared" si="178"/>
        <v>190.32118031889402</v>
      </c>
      <c r="P699" s="20">
        <f t="shared" si="179"/>
        <v>-17.427501884517824</v>
      </c>
      <c r="Q699" s="20">
        <f t="shared" si="174"/>
        <v>-0.28709188940994901</v>
      </c>
      <c r="R699" s="20">
        <f t="shared" si="175"/>
        <v>-6.2506398739374918</v>
      </c>
      <c r="S699" s="20">
        <f t="shared" si="180"/>
        <v>74.274453282251599</v>
      </c>
      <c r="T699" s="1">
        <f t="shared" si="181"/>
        <v>0</v>
      </c>
    </row>
    <row r="700" spans="1:20" x14ac:dyDescent="0.25">
      <c r="A700" s="20">
        <f t="shared" si="176"/>
        <v>6.9499999999998963</v>
      </c>
      <c r="C700" s="20">
        <f t="shared" si="182"/>
        <v>24.210883454093718</v>
      </c>
      <c r="D700" s="20">
        <f t="shared" si="169"/>
        <v>0.12590940299440614</v>
      </c>
      <c r="E700" s="20">
        <f t="shared" si="170"/>
        <v>2.7413325276378435</v>
      </c>
      <c r="F700" s="20">
        <f t="shared" si="171"/>
        <v>0.10576389851530117</v>
      </c>
      <c r="G700" s="20">
        <f t="shared" si="172"/>
        <v>2.3027193232157885</v>
      </c>
      <c r="I700" s="20">
        <f t="shared" si="183"/>
        <v>-0.8072708419977509</v>
      </c>
      <c r="K700" s="20">
        <f t="shared" si="177"/>
        <v>16.741161485372018</v>
      </c>
      <c r="L700" s="20">
        <f t="shared" si="184"/>
        <v>-1.0658767881942421E-2</v>
      </c>
      <c r="M700" s="20">
        <f t="shared" si="173"/>
        <v>-0.23206548839413066</v>
      </c>
      <c r="N700" s="1">
        <f t="shared" si="178"/>
        <v>190.48860382634945</v>
      </c>
      <c r="P700" s="20">
        <f t="shared" si="179"/>
        <v>-17.4900082832572</v>
      </c>
      <c r="Q700" s="20">
        <f t="shared" si="174"/>
        <v>-0.28648317031877402</v>
      </c>
      <c r="R700" s="20">
        <f t="shared" si="175"/>
        <v>-6.2373866823160036</v>
      </c>
      <c r="S700" s="20">
        <f t="shared" si="180"/>
        <v>74.09986573141272</v>
      </c>
      <c r="T700" s="1">
        <f t="shared" si="181"/>
        <v>0</v>
      </c>
    </row>
    <row r="701" spans="1:20" x14ac:dyDescent="0.25">
      <c r="A701" s="20">
        <f t="shared" si="176"/>
        <v>6.959999999999896</v>
      </c>
      <c r="C701" s="20">
        <f t="shared" si="182"/>
        <v>24.254379222954245</v>
      </c>
      <c r="D701" s="20">
        <f t="shared" si="169"/>
        <v>0.12636221139306111</v>
      </c>
      <c r="E701" s="20">
        <f t="shared" si="170"/>
        <v>2.7511911907916637</v>
      </c>
      <c r="F701" s="20">
        <f t="shared" si="171"/>
        <v>0.10614425757017135</v>
      </c>
      <c r="G701" s="20">
        <f t="shared" si="172"/>
        <v>2.3110006002649977</v>
      </c>
      <c r="I701" s="20">
        <f t="shared" si="183"/>
        <v>-0.80911819045664457</v>
      </c>
      <c r="K701" s="20">
        <f t="shared" si="177"/>
        <v>16.738840830488076</v>
      </c>
      <c r="L701" s="20">
        <f t="shared" si="184"/>
        <v>-1.0392860162348291E-2</v>
      </c>
      <c r="M701" s="20">
        <f t="shared" si="173"/>
        <v>-0.22627607581859988</v>
      </c>
      <c r="N701" s="1">
        <f t="shared" si="178"/>
        <v>190.65600383792875</v>
      </c>
      <c r="P701" s="20">
        <f t="shared" si="179"/>
        <v>-17.552382150080362</v>
      </c>
      <c r="Q701" s="20">
        <f t="shared" si="174"/>
        <v>-0.28587357218931597</v>
      </c>
      <c r="R701" s="20">
        <f t="shared" si="175"/>
        <v>-6.2241143520425863</v>
      </c>
      <c r="S701" s="20">
        <f t="shared" si="180"/>
        <v>73.924653779246029</v>
      </c>
      <c r="T701" s="1">
        <f t="shared" si="181"/>
        <v>0</v>
      </c>
    </row>
    <row r="702" spans="1:20" x14ac:dyDescent="0.25">
      <c r="A702" s="20">
        <f t="shared" si="176"/>
        <v>6.9699999999998958</v>
      </c>
      <c r="C702" s="20">
        <f t="shared" si="182"/>
        <v>24.297901128690661</v>
      </c>
      <c r="D702" s="20">
        <f t="shared" si="169"/>
        <v>0.12681610537716878</v>
      </c>
      <c r="E702" s="20">
        <f t="shared" si="170"/>
        <v>2.7610734895965336</v>
      </c>
      <c r="F702" s="20">
        <f t="shared" si="171"/>
        <v>0.10652552851682177</v>
      </c>
      <c r="G702" s="20">
        <f t="shared" si="172"/>
        <v>2.319301731261088</v>
      </c>
      <c r="I702" s="20">
        <f t="shared" si="183"/>
        <v>-0.81095342896533451</v>
      </c>
      <c r="K702" s="20">
        <f t="shared" si="177"/>
        <v>16.736578069729891</v>
      </c>
      <c r="L702" s="20">
        <f t="shared" si="184"/>
        <v>-1.012682498234338E-2</v>
      </c>
      <c r="M702" s="20">
        <f t="shared" si="173"/>
        <v>-0.22048388814159331</v>
      </c>
      <c r="N702" s="1">
        <f t="shared" si="178"/>
        <v>190.82338093242984</v>
      </c>
      <c r="P702" s="20">
        <f t="shared" si="179"/>
        <v>-17.614623293600786</v>
      </c>
      <c r="Q702" s="20">
        <f t="shared" si="174"/>
        <v>-0.28526310604754479</v>
      </c>
      <c r="R702" s="20">
        <f t="shared" si="175"/>
        <v>-6.2108231231775486</v>
      </c>
      <c r="S702" s="20">
        <f t="shared" si="180"/>
        <v>73.748818752027617</v>
      </c>
      <c r="T702" s="1">
        <f t="shared" si="181"/>
        <v>0</v>
      </c>
    </row>
    <row r="703" spans="1:20" x14ac:dyDescent="0.25">
      <c r="A703" s="20">
        <f t="shared" si="176"/>
        <v>6.9799999999998956</v>
      </c>
      <c r="C703" s="20">
        <f t="shared" si="182"/>
        <v>24.341447878676966</v>
      </c>
      <c r="D703" s="20">
        <f t="shared" si="169"/>
        <v>0.12727107289559936</v>
      </c>
      <c r="E703" s="20">
        <f t="shared" si="170"/>
        <v>2.7709791616720958</v>
      </c>
      <c r="F703" s="20">
        <f t="shared" si="171"/>
        <v>0.10690770123230346</v>
      </c>
      <c r="G703" s="20">
        <f t="shared" si="172"/>
        <v>2.3276224958045604</v>
      </c>
      <c r="I703" s="20">
        <f t="shared" si="183"/>
        <v>-0.81277661670068524</v>
      </c>
      <c r="K703" s="20">
        <f t="shared" si="177"/>
        <v>16.734373230848476</v>
      </c>
      <c r="L703" s="20">
        <f t="shared" si="184"/>
        <v>-9.860666625147757E-3</v>
      </c>
      <c r="M703" s="20">
        <f t="shared" si="173"/>
        <v>-0.21468901861850115</v>
      </c>
      <c r="N703" s="1">
        <f t="shared" si="178"/>
        <v>190.99073568893274</v>
      </c>
      <c r="P703" s="20">
        <f t="shared" si="179"/>
        <v>-17.676731524832562</v>
      </c>
      <c r="Q703" s="20">
        <f t="shared" si="174"/>
        <v>-0.28465178291291415</v>
      </c>
      <c r="R703" s="20">
        <f t="shared" si="175"/>
        <v>-6.1975132356393239</v>
      </c>
      <c r="S703" s="20">
        <f t="shared" si="180"/>
        <v>73.572361977935458</v>
      </c>
      <c r="T703" s="1">
        <f t="shared" si="181"/>
        <v>0</v>
      </c>
    </row>
    <row r="704" spans="1:20" x14ac:dyDescent="0.25">
      <c r="A704" s="20">
        <f t="shared" si="176"/>
        <v>6.9899999999998954</v>
      </c>
      <c r="C704" s="20">
        <f t="shared" si="182"/>
        <v>24.385018191195854</v>
      </c>
      <c r="D704" s="20">
        <f t="shared" si="169"/>
        <v>0.12772710191559616</v>
      </c>
      <c r="E704" s="20">
        <f t="shared" si="170"/>
        <v>2.7809079450380181</v>
      </c>
      <c r="F704" s="20">
        <f t="shared" si="171"/>
        <v>0.10729076560910078</v>
      </c>
      <c r="G704" s="20">
        <f t="shared" si="172"/>
        <v>2.335962673831935</v>
      </c>
      <c r="I704" s="20">
        <f t="shared" si="183"/>
        <v>-0.81458781277500325</v>
      </c>
      <c r="K704" s="20">
        <f t="shared" si="177"/>
        <v>16.73222634066229</v>
      </c>
      <c r="L704" s="20">
        <f t="shared" si="184"/>
        <v>-9.5943894357236742E-3</v>
      </c>
      <c r="M704" s="20">
        <f t="shared" si="173"/>
        <v>-0.2088915618489805</v>
      </c>
      <c r="N704" s="1">
        <f t="shared" si="178"/>
        <v>191.1580686867903</v>
      </c>
      <c r="P704" s="20">
        <f t="shared" si="179"/>
        <v>-17.738706657188956</v>
      </c>
      <c r="Q704" s="20">
        <f t="shared" si="174"/>
        <v>-0.28403961379777914</v>
      </c>
      <c r="R704" s="20">
        <f t="shared" si="175"/>
        <v>-6.1841849291917956</v>
      </c>
      <c r="S704" s="20">
        <f t="shared" si="180"/>
        <v>73.395284787025346</v>
      </c>
      <c r="T704" s="1">
        <f t="shared" si="181"/>
        <v>0</v>
      </c>
    </row>
    <row r="705" spans="1:20" x14ac:dyDescent="0.25">
      <c r="A705" s="20">
        <f t="shared" si="176"/>
        <v>6.9999999999998952</v>
      </c>
      <c r="C705" s="20">
        <f t="shared" si="182"/>
        <v>24.428610795385598</v>
      </c>
      <c r="D705" s="20">
        <f t="shared" si="169"/>
        <v>0.12818418042310528</v>
      </c>
      <c r="E705" s="20">
        <f t="shared" si="170"/>
        <v>2.7908595781211689</v>
      </c>
      <c r="F705" s="20">
        <f t="shared" si="171"/>
        <v>0.10767471155540843</v>
      </c>
      <c r="G705" s="20">
        <f t="shared" si="172"/>
        <v>2.3443220456217819</v>
      </c>
      <c r="I705" s="20">
        <f t="shared" si="183"/>
        <v>-0.81638707622980711</v>
      </c>
      <c r="K705" s="20">
        <f t="shared" si="177"/>
        <v>16.7301374250438</v>
      </c>
      <c r="L705" s="20">
        <f t="shared" si="184"/>
        <v>-9.3279978194592689E-3</v>
      </c>
      <c r="M705" s="20">
        <f t="shared" si="173"/>
        <v>-0.20309161374829673</v>
      </c>
      <c r="N705" s="1">
        <f t="shared" si="178"/>
        <v>191.32538050561882</v>
      </c>
      <c r="P705" s="20">
        <f t="shared" si="179"/>
        <v>-17.800548506480876</v>
      </c>
      <c r="Q705" s="20">
        <f t="shared" si="174"/>
        <v>-0.28342660970682138</v>
      </c>
      <c r="R705" s="20">
        <f t="shared" si="175"/>
        <v>-6.1708384434317738</v>
      </c>
      <c r="S705" s="20">
        <f t="shared" si="180"/>
        <v>73.217588511206998</v>
      </c>
      <c r="T705" s="1">
        <f t="shared" si="181"/>
        <v>0</v>
      </c>
    </row>
    <row r="706" spans="1:20" x14ac:dyDescent="0.25">
      <c r="A706" s="20">
        <f t="shared" si="176"/>
        <v>7.009999999999895</v>
      </c>
      <c r="C706" s="20">
        <f t="shared" si="182"/>
        <v>24.472224431186497</v>
      </c>
      <c r="D706" s="20">
        <f t="shared" si="169"/>
        <v>0.12864229642310326</v>
      </c>
      <c r="E706" s="20">
        <f t="shared" si="170"/>
        <v>2.8008337997627537</v>
      </c>
      <c r="F706" s="20">
        <f t="shared" si="171"/>
        <v>0.10805952899540673</v>
      </c>
      <c r="G706" s="20">
        <f t="shared" si="172"/>
        <v>2.3527003918007128</v>
      </c>
      <c r="I706" s="20">
        <f t="shared" si="183"/>
        <v>-0.81817446602976851</v>
      </c>
      <c r="K706" s="20">
        <f t="shared" si="177"/>
        <v>16.728106508906318</v>
      </c>
      <c r="L706" s="20">
        <f t="shared" si="184"/>
        <v>-9.0614962408615135E-3</v>
      </c>
      <c r="M706" s="20">
        <f t="shared" si="173"/>
        <v>-0.19728927151886597</v>
      </c>
      <c r="N706" s="1">
        <f t="shared" si="178"/>
        <v>191.49267172528857</v>
      </c>
      <c r="P706" s="20">
        <f t="shared" si="179"/>
        <v>-17.862256890915194</v>
      </c>
      <c r="Q706" s="20">
        <f t="shared" si="174"/>
        <v>-0.2828127816364841</v>
      </c>
      <c r="R706" s="20">
        <f t="shared" si="175"/>
        <v>-6.157474017776706</v>
      </c>
      <c r="S706" s="20">
        <f t="shared" si="180"/>
        <v>73.039274484220016</v>
      </c>
      <c r="T706" s="1">
        <f t="shared" si="181"/>
        <v>0</v>
      </c>
    </row>
    <row r="707" spans="1:20" x14ac:dyDescent="0.25">
      <c r="A707" s="20">
        <f t="shared" si="176"/>
        <v>7.0199999999998948</v>
      </c>
      <c r="C707" s="20">
        <f t="shared" si="182"/>
        <v>24.515857849287013</v>
      </c>
      <c r="D707" s="20">
        <f t="shared" si="169"/>
        <v>0.12910143793992412</v>
      </c>
      <c r="E707" s="20">
        <f t="shared" si="170"/>
        <v>2.8108303492254327</v>
      </c>
      <c r="F707" s="20">
        <f t="shared" si="171"/>
        <v>0.10844520786953628</v>
      </c>
      <c r="G707" s="20">
        <f t="shared" si="172"/>
        <v>2.361097493349364</v>
      </c>
      <c r="I707" s="20">
        <f t="shared" si="183"/>
        <v>-0.81995004105681835</v>
      </c>
      <c r="K707" s="20">
        <f t="shared" si="177"/>
        <v>16.726133616191131</v>
      </c>
      <c r="L707" s="20">
        <f t="shared" si="184"/>
        <v>-8.7948892222591696E-3</v>
      </c>
      <c r="M707" s="20">
        <f t="shared" si="173"/>
        <v>-0.19148463362201545</v>
      </c>
      <c r="N707" s="1">
        <f t="shared" si="178"/>
        <v>191.65994292591407</v>
      </c>
      <c r="P707" s="20">
        <f t="shared" si="179"/>
        <v>-17.923831631092963</v>
      </c>
      <c r="Q707" s="20">
        <f t="shared" si="174"/>
        <v>-0.28219814057441489</v>
      </c>
      <c r="R707" s="20">
        <f t="shared" si="175"/>
        <v>-6.1440918914525344</v>
      </c>
      <c r="S707" s="20">
        <f t="shared" si="180"/>
        <v>72.860344041609977</v>
      </c>
      <c r="T707" s="1">
        <f t="shared" si="181"/>
        <v>0</v>
      </c>
    </row>
    <row r="708" spans="1:20" x14ac:dyDescent="0.25">
      <c r="A708" s="20">
        <f t="shared" si="176"/>
        <v>7.0299999999998946</v>
      </c>
      <c r="C708" s="20">
        <f t="shared" si="182"/>
        <v>24.559509811069525</v>
      </c>
      <c r="D708" s="20">
        <f t="shared" si="169"/>
        <v>0.12956159301758435</v>
      </c>
      <c r="E708" s="20">
        <f t="shared" si="170"/>
        <v>2.8208489662003995</v>
      </c>
      <c r="F708" s="20">
        <f t="shared" si="171"/>
        <v>0.10883173813477084</v>
      </c>
      <c r="G708" s="20">
        <f t="shared" si="172"/>
        <v>2.3695131316083353</v>
      </c>
      <c r="I708" s="20">
        <f t="shared" si="183"/>
        <v>-0.82171386010441694</v>
      </c>
      <c r="K708" s="20">
        <f t="shared" si="177"/>
        <v>16.724218769854911</v>
      </c>
      <c r="L708" s="20">
        <f t="shared" si="184"/>
        <v>-8.5281813425155256E-3</v>
      </c>
      <c r="M708" s="20">
        <f t="shared" si="173"/>
        <v>-0.18567779974995702</v>
      </c>
      <c r="N708" s="1">
        <f t="shared" si="178"/>
        <v>191.8271946878443</v>
      </c>
      <c r="P708" s="20">
        <f t="shared" si="179"/>
        <v>-17.985272550007487</v>
      </c>
      <c r="Q708" s="20">
        <f t="shared" si="174"/>
        <v>-0.28158269749891812</v>
      </c>
      <c r="R708" s="20">
        <f t="shared" si="175"/>
        <v>-6.1306923034817791</v>
      </c>
      <c r="S708" s="20">
        <f t="shared" si="180"/>
        <v>72.680798520704471</v>
      </c>
      <c r="T708" s="1">
        <f t="shared" si="181"/>
        <v>0</v>
      </c>
    </row>
    <row r="709" spans="1:20" x14ac:dyDescent="0.25">
      <c r="A709" s="20">
        <f t="shared" si="176"/>
        <v>7.0399999999998943</v>
      </c>
      <c r="C709" s="20">
        <f t="shared" si="182"/>
        <v>24.603179088555798</v>
      </c>
      <c r="D709" s="20">
        <f t="shared" ref="D709:D772" si="185">0.5*$W$5*$W$10*$W$9*C709^2</f>
        <v>0.13002274972010661</v>
      </c>
      <c r="E709" s="20">
        <f t="shared" ref="E709:E772" si="186">D709/$W$4</f>
        <v>2.8308893908144266</v>
      </c>
      <c r="F709" s="20">
        <f t="shared" ref="F709:F772" si="187">0.5*$W$6*$W$10*$W$9*C709^2</f>
        <v>0.10921910976488955</v>
      </c>
      <c r="G709" s="20">
        <f t="shared" ref="G709:G772" si="188">F709/$W$4</f>
        <v>2.3779470882841185</v>
      </c>
      <c r="I709" s="20">
        <f t="shared" si="183"/>
        <v>-0.82346598187198461</v>
      </c>
      <c r="K709" s="20">
        <f t="shared" si="177"/>
        <v>16.722361991857412</v>
      </c>
      <c r="L709" s="20">
        <f t="shared" si="184"/>
        <v>-8.261377235750586E-3</v>
      </c>
      <c r="M709" s="20">
        <f t="shared" ref="M709:M772" si="189">L709/$W$4</f>
        <v>-0.17986887079796618</v>
      </c>
      <c r="N709" s="1">
        <f t="shared" si="178"/>
        <v>191.99442759165285</v>
      </c>
      <c r="P709" s="20">
        <f t="shared" si="179"/>
        <v>-18.046579473042303</v>
      </c>
      <c r="Q709" s="20">
        <f t="shared" ref="Q709:Q772" si="190">-(D709*SIN(I709))+(F709*COS(I709))-($W$4*9.81)</f>
        <v>-0.2809664633784148</v>
      </c>
      <c r="R709" s="20">
        <f t="shared" ref="R709:R772" si="191">Q709/$W$4</f>
        <v>-6.1172754926717792</v>
      </c>
      <c r="S709" s="20">
        <f t="shared" si="180"/>
        <v>72.500639260589224</v>
      </c>
      <c r="T709" s="1">
        <f t="shared" si="181"/>
        <v>0</v>
      </c>
    </row>
    <row r="710" spans="1:20" x14ac:dyDescent="0.25">
      <c r="A710" s="20">
        <f t="shared" ref="A710:A773" si="192">A709+$W$18</f>
        <v>7.0499999999998941</v>
      </c>
      <c r="C710" s="20">
        <f t="shared" si="182"/>
        <v>24.646864464352145</v>
      </c>
      <c r="D710" s="20">
        <f t="shared" si="185"/>
        <v>0.13048489613184241</v>
      </c>
      <c r="E710" s="20">
        <f t="shared" si="186"/>
        <v>2.8409513636368913</v>
      </c>
      <c r="F710" s="20">
        <f t="shared" si="187"/>
        <v>0.10960731275074763</v>
      </c>
      <c r="G710" s="20">
        <f t="shared" si="188"/>
        <v>2.3863991454549889</v>
      </c>
      <c r="I710" s="20">
        <f t="shared" si="183"/>
        <v>-0.82520646495949035</v>
      </c>
      <c r="K710" s="20">
        <f t="shared" ref="K710:K773" si="193">K709+(M709*$W$18)</f>
        <v>16.720563303149433</v>
      </c>
      <c r="L710" s="20">
        <f t="shared" si="184"/>
        <v>-7.9944815900735849E-3</v>
      </c>
      <c r="M710" s="20">
        <f t="shared" si="189"/>
        <v>-0.1740579488367861</v>
      </c>
      <c r="N710" s="1">
        <f t="shared" ref="N710:N773" si="194">N709+(K709*$W$18)+(0.5*M709*$W$18^2)</f>
        <v>192.16164221812789</v>
      </c>
      <c r="P710" s="20">
        <f t="shared" ref="P710:P773" si="195">P709+(R709*$W$18)</f>
        <v>-18.107752227969023</v>
      </c>
      <c r="Q710" s="20">
        <f t="shared" si="190"/>
        <v>-0.2803494491709112</v>
      </c>
      <c r="R710" s="20">
        <f t="shared" si="191"/>
        <v>-6.1038416976031185</v>
      </c>
      <c r="S710" s="20">
        <f t="shared" ref="S710:S773" si="196">S709+(P709*$W$18)+(0.5*R709*$W$18^2)</f>
        <v>72.319867602084173</v>
      </c>
      <c r="T710" s="1">
        <f t="shared" si="181"/>
        <v>0</v>
      </c>
    </row>
    <row r="711" spans="1:20" x14ac:dyDescent="0.25">
      <c r="A711" s="20">
        <f t="shared" si="192"/>
        <v>7.0599999999998939</v>
      </c>
      <c r="C711" s="20">
        <f t="shared" si="182"/>
        <v>24.690564731594307</v>
      </c>
      <c r="D711" s="20">
        <f t="shared" si="185"/>
        <v>0.13094802035779277</v>
      </c>
      <c r="E711" s="20">
        <f t="shared" si="186"/>
        <v>2.8510346256867574</v>
      </c>
      <c r="F711" s="20">
        <f t="shared" si="187"/>
        <v>0.10999633710054592</v>
      </c>
      <c r="G711" s="20">
        <f t="shared" si="188"/>
        <v>2.3948690855768762</v>
      </c>
      <c r="I711" s="20">
        <f t="shared" si="183"/>
        <v>-0.82693536786219424</v>
      </c>
      <c r="K711" s="20">
        <f t="shared" si="193"/>
        <v>16.718822723661066</v>
      </c>
      <c r="L711" s="20">
        <f t="shared" si="184"/>
        <v>-7.7274991463249787E-3</v>
      </c>
      <c r="M711" s="20">
        <f t="shared" si="189"/>
        <v>-0.16824513708523794</v>
      </c>
      <c r="N711" s="1">
        <f t="shared" si="194"/>
        <v>192.32883914826195</v>
      </c>
      <c r="P711" s="20">
        <f t="shared" si="195"/>
        <v>-18.168790644945055</v>
      </c>
      <c r="Q711" s="20">
        <f t="shared" si="190"/>
        <v>-0.27973166582347564</v>
      </c>
      <c r="R711" s="20">
        <f t="shared" si="191"/>
        <v>-6.0903911566182378</v>
      </c>
      <c r="S711" s="20">
        <f t="shared" si="196"/>
        <v>72.138484887719599</v>
      </c>
      <c r="T711" s="1">
        <f t="shared" ref="T711:T774" si="197">IF(AND(S710&gt;0,S711&lt;0),(-1*S710*(N711-N710)/(S711-S710)+N710),0)</f>
        <v>0</v>
      </c>
    </row>
    <row r="712" spans="1:20" x14ac:dyDescent="0.25">
      <c r="A712" s="20">
        <f t="shared" si="192"/>
        <v>7.0699999999998937</v>
      </c>
      <c r="C712" s="20">
        <f t="shared" si="182"/>
        <v>24.734278693892062</v>
      </c>
      <c r="D712" s="20">
        <f t="shared" si="185"/>
        <v>0.13141211052392707</v>
      </c>
      <c r="E712" s="20">
        <f t="shared" si="186"/>
        <v>2.8611389184395182</v>
      </c>
      <c r="F712" s="20">
        <f t="shared" si="187"/>
        <v>0.11038617284009875</v>
      </c>
      <c r="G712" s="20">
        <f t="shared" si="188"/>
        <v>2.4033566914891953</v>
      </c>
      <c r="I712" s="20">
        <f t="shared" si="183"/>
        <v>-0.82865274896554286</v>
      </c>
      <c r="K712" s="20">
        <f t="shared" si="193"/>
        <v>16.717140272290216</v>
      </c>
      <c r="L712" s="20">
        <f t="shared" si="184"/>
        <v>-7.4604346968284441E-3</v>
      </c>
      <c r="M712" s="20">
        <f t="shared" si="189"/>
        <v>-0.16243053988304909</v>
      </c>
      <c r="N712" s="1">
        <f t="shared" si="194"/>
        <v>192.49601896324171</v>
      </c>
      <c r="P712" s="20">
        <f t="shared" si="195"/>
        <v>-18.229694556511237</v>
      </c>
      <c r="Q712" s="20">
        <f t="shared" si="190"/>
        <v>-0.27911312427172386</v>
      </c>
      <c r="R712" s="20">
        <f t="shared" si="191"/>
        <v>-6.0769241078102301</v>
      </c>
      <c r="S712" s="20">
        <f t="shared" si="196"/>
        <v>71.956492461712315</v>
      </c>
      <c r="T712" s="1">
        <f t="shared" si="197"/>
        <v>0</v>
      </c>
    </row>
    <row r="713" spans="1:20" x14ac:dyDescent="0.25">
      <c r="A713" s="20">
        <f t="shared" si="192"/>
        <v>7.0799999999998935</v>
      </c>
      <c r="C713" s="20">
        <f t="shared" si="182"/>
        <v>24.77800516527364</v>
      </c>
      <c r="D713" s="20">
        <f t="shared" si="185"/>
        <v>0.13187715477750159</v>
      </c>
      <c r="E713" s="20">
        <f t="shared" si="186"/>
        <v>2.8712639838341301</v>
      </c>
      <c r="F713" s="20">
        <f t="shared" si="187"/>
        <v>0.11077681001310133</v>
      </c>
      <c r="G713" s="20">
        <f t="shared" si="188"/>
        <v>2.4118617464206693</v>
      </c>
      <c r="I713" s="20">
        <f t="shared" si="183"/>
        <v>-0.83035866654021295</v>
      </c>
      <c r="K713" s="20">
        <f t="shared" si="193"/>
        <v>16.715515966891385</v>
      </c>
      <c r="L713" s="20">
        <f t="shared" si="184"/>
        <v>-7.1932930841530768E-3</v>
      </c>
      <c r="M713" s="20">
        <f t="shared" si="189"/>
        <v>-0.15661426266390327</v>
      </c>
      <c r="N713" s="1">
        <f t="shared" si="194"/>
        <v>192.66318224443762</v>
      </c>
      <c r="P713" s="20">
        <f t="shared" si="195"/>
        <v>-18.290463797589339</v>
      </c>
      <c r="Q713" s="20">
        <f t="shared" si="190"/>
        <v>-0.27849383543931128</v>
      </c>
      <c r="R713" s="20">
        <f t="shared" si="191"/>
        <v>-6.0634407890117847</v>
      </c>
      <c r="S713" s="20">
        <f t="shared" si="196"/>
        <v>71.773891669941818</v>
      </c>
      <c r="T713" s="1">
        <f t="shared" si="197"/>
        <v>0</v>
      </c>
    </row>
    <row r="714" spans="1:20" x14ac:dyDescent="0.25">
      <c r="A714" s="20">
        <f t="shared" si="192"/>
        <v>7.0899999999998933</v>
      </c>
      <c r="C714" s="20">
        <f t="shared" si="182"/>
        <v>24.821742970129854</v>
      </c>
      <c r="D714" s="20">
        <f t="shared" si="185"/>
        <v>0.13234314128737468</v>
      </c>
      <c r="E714" s="20">
        <f t="shared" si="186"/>
        <v>2.8814095642798754</v>
      </c>
      <c r="F714" s="20">
        <f t="shared" si="187"/>
        <v>0.11116823868139472</v>
      </c>
      <c r="G714" s="20">
        <f t="shared" si="188"/>
        <v>2.4203840339950951</v>
      </c>
      <c r="I714" s="20">
        <f t="shared" si="183"/>
        <v>-0.83205317873730233</v>
      </c>
      <c r="K714" s="20">
        <f t="shared" si="193"/>
        <v>16.713949824264745</v>
      </c>
      <c r="L714" s="20">
        <f t="shared" si="184"/>
        <v>-6.9260791998849158E-3</v>
      </c>
      <c r="M714" s="20">
        <f t="shared" si="189"/>
        <v>-0.150796411928694</v>
      </c>
      <c r="N714" s="1">
        <f t="shared" si="194"/>
        <v>192.83032957339339</v>
      </c>
      <c r="P714" s="20">
        <f t="shared" si="195"/>
        <v>-18.351098205479456</v>
      </c>
      <c r="Q714" s="20">
        <f t="shared" si="190"/>
        <v>-0.27787381023743446</v>
      </c>
      <c r="R714" s="20">
        <f t="shared" si="191"/>
        <v>-6.0499414377843346</v>
      </c>
      <c r="S714" s="20">
        <f t="shared" si="196"/>
        <v>71.590683859926472</v>
      </c>
      <c r="T714" s="1">
        <f t="shared" si="197"/>
        <v>0</v>
      </c>
    </row>
    <row r="715" spans="1:20" x14ac:dyDescent="0.25">
      <c r="A715" s="20">
        <f t="shared" si="192"/>
        <v>7.0999999999998931</v>
      </c>
      <c r="C715" s="20">
        <f t="shared" si="182"/>
        <v>24.865490943158093</v>
      </c>
      <c r="D715" s="20">
        <f t="shared" si="185"/>
        <v>0.13281005824432188</v>
      </c>
      <c r="E715" s="20">
        <f t="shared" si="186"/>
        <v>2.8915754026632241</v>
      </c>
      <c r="F715" s="20">
        <f t="shared" si="187"/>
        <v>0.11156044892523037</v>
      </c>
      <c r="G715" s="20">
        <f t="shared" si="188"/>
        <v>2.4289233382371083</v>
      </c>
      <c r="I715" s="20">
        <f t="shared" si="183"/>
        <v>-0.83373634358366377</v>
      </c>
      <c r="K715" s="20">
        <f t="shared" si="193"/>
        <v>16.712441860145457</v>
      </c>
      <c r="L715" s="20">
        <f t="shared" si="184"/>
        <v>-6.6587979834090705E-3</v>
      </c>
      <c r="M715" s="20">
        <f t="shared" si="189"/>
        <v>-0.14497709521900873</v>
      </c>
      <c r="N715" s="1">
        <f t="shared" si="194"/>
        <v>192.99746153181545</v>
      </c>
      <c r="P715" s="20">
        <f t="shared" si="195"/>
        <v>-18.4115976198573</v>
      </c>
      <c r="Q715" s="20">
        <f t="shared" si="190"/>
        <v>-0.27725305956433927</v>
      </c>
      <c r="R715" s="20">
        <f t="shared" si="191"/>
        <v>-6.0364262914073432</v>
      </c>
      <c r="S715" s="20">
        <f t="shared" si="196"/>
        <v>71.406870380799788</v>
      </c>
      <c r="T715" s="1">
        <f t="shared" si="197"/>
        <v>0</v>
      </c>
    </row>
    <row r="716" spans="1:20" x14ac:dyDescent="0.25">
      <c r="A716" s="20">
        <f t="shared" si="192"/>
        <v>7.1099999999998929</v>
      </c>
      <c r="C716" s="20">
        <f t="shared" si="182"/>
        <v>24.909247929306066</v>
      </c>
      <c r="D716" s="20">
        <f t="shared" si="185"/>
        <v>0.13327789386134836</v>
      </c>
      <c r="E716" s="20">
        <f t="shared" si="186"/>
        <v>2.9017612423546346</v>
      </c>
      <c r="F716" s="20">
        <f t="shared" si="187"/>
        <v>0.11195343084353263</v>
      </c>
      <c r="G716" s="20">
        <f t="shared" si="188"/>
        <v>2.4374794435778933</v>
      </c>
      <c r="I716" s="20">
        <f t="shared" si="183"/>
        <v>-0.83540821897737882</v>
      </c>
      <c r="K716" s="20">
        <f t="shared" si="193"/>
        <v>16.710992089193269</v>
      </c>
      <c r="L716" s="20">
        <f t="shared" si="184"/>
        <v>-6.3914544207016588E-3</v>
      </c>
      <c r="M716" s="20">
        <f t="shared" si="189"/>
        <v>-0.13915642109082646</v>
      </c>
      <c r="N716" s="1">
        <f t="shared" si="194"/>
        <v>193.16457870156214</v>
      </c>
      <c r="P716" s="20">
        <f t="shared" si="195"/>
        <v>-18.471961882771375</v>
      </c>
      <c r="Q716" s="20">
        <f t="shared" si="190"/>
        <v>-0.27663159430483736</v>
      </c>
      <c r="R716" s="20">
        <f t="shared" si="191"/>
        <v>-6.0228955868677847</v>
      </c>
      <c r="S716" s="20">
        <f t="shared" si="196"/>
        <v>71.222452583286653</v>
      </c>
      <c r="T716" s="1">
        <f t="shared" si="197"/>
        <v>0</v>
      </c>
    </row>
    <row r="717" spans="1:20" x14ac:dyDescent="0.25">
      <c r="A717" s="20">
        <f t="shared" si="192"/>
        <v>7.1199999999998926</v>
      </c>
      <c r="C717" s="20">
        <f t="shared" si="182"/>
        <v>24.953012783715415</v>
      </c>
      <c r="D717" s="20">
        <f t="shared" si="185"/>
        <v>0.13374663637399997</v>
      </c>
      <c r="E717" s="20">
        <f t="shared" si="186"/>
        <v>2.911966827215327</v>
      </c>
      <c r="F717" s="20">
        <f t="shared" si="187"/>
        <v>0.11234717455415998</v>
      </c>
      <c r="G717" s="20">
        <f t="shared" si="188"/>
        <v>2.4460521348608748</v>
      </c>
      <c r="I717" s="20">
        <f t="shared" si="183"/>
        <v>-0.83706886268337222</v>
      </c>
      <c r="K717" s="20">
        <f t="shared" si="193"/>
        <v>16.70960052498236</v>
      </c>
      <c r="L717" s="20">
        <f t="shared" si="184"/>
        <v>-6.1240535431314191E-3</v>
      </c>
      <c r="M717" s="20">
        <f t="shared" si="189"/>
        <v>-0.13333449908842629</v>
      </c>
      <c r="N717" s="1">
        <f t="shared" si="194"/>
        <v>193.33168166463301</v>
      </c>
      <c r="P717" s="20">
        <f t="shared" si="195"/>
        <v>-18.532190838640052</v>
      </c>
      <c r="Q717" s="20">
        <f t="shared" si="190"/>
        <v>-0.2760094253298303</v>
      </c>
      <c r="R717" s="20">
        <f t="shared" si="191"/>
        <v>-6.0093495608497784</v>
      </c>
      <c r="S717" s="20">
        <f t="shared" si="196"/>
        <v>71.037431819679597</v>
      </c>
      <c r="T717" s="1">
        <f t="shared" si="197"/>
        <v>0</v>
      </c>
    </row>
    <row r="718" spans="1:20" x14ac:dyDescent="0.25">
      <c r="A718" s="20">
        <f t="shared" si="192"/>
        <v>7.1299999999998924</v>
      </c>
      <c r="C718" s="20">
        <f t="shared" si="182"/>
        <v>24.996784371665175</v>
      </c>
      <c r="D718" s="20">
        <f t="shared" si="185"/>
        <v>0.13421627404067268</v>
      </c>
      <c r="E718" s="20">
        <f t="shared" si="186"/>
        <v>2.922191901604021</v>
      </c>
      <c r="F718" s="20">
        <f t="shared" si="187"/>
        <v>0.11274167019416506</v>
      </c>
      <c r="G718" s="20">
        <f t="shared" si="188"/>
        <v>2.4546411973473781</v>
      </c>
      <c r="I718" s="20">
        <f t="shared" si="183"/>
        <v>-0.83871833232915904</v>
      </c>
      <c r="K718" s="20">
        <f t="shared" si="193"/>
        <v>16.708267179991477</v>
      </c>
      <c r="L718" s="20">
        <f t="shared" si="184"/>
        <v>-5.856600426271924E-3</v>
      </c>
      <c r="M718" s="20">
        <f t="shared" si="189"/>
        <v>-0.12751143971852655</v>
      </c>
      <c r="N718" s="1">
        <f t="shared" si="194"/>
        <v>193.49877100315788</v>
      </c>
      <c r="P718" s="20">
        <f t="shared" si="195"/>
        <v>-18.59228433424855</v>
      </c>
      <c r="Q718" s="20">
        <f t="shared" si="190"/>
        <v>-0.27538656349584045</v>
      </c>
      <c r="R718" s="20">
        <f t="shared" si="191"/>
        <v>-5.9957884497243734</v>
      </c>
      <c r="S718" s="20">
        <f t="shared" si="196"/>
        <v>70.851809443815156</v>
      </c>
      <c r="T718" s="1">
        <f t="shared" si="197"/>
        <v>0</v>
      </c>
    </row>
    <row r="719" spans="1:20" x14ac:dyDescent="0.25">
      <c r="A719" s="20">
        <f t="shared" si="192"/>
        <v>7.1399999999998922</v>
      </c>
      <c r="C719" s="20">
        <f t="shared" si="182"/>
        <v>25.040561568515066</v>
      </c>
      <c r="D719" s="20">
        <f t="shared" si="185"/>
        <v>0.13468679514291998</v>
      </c>
      <c r="E719" s="20">
        <f t="shared" si="186"/>
        <v>2.932436210383627</v>
      </c>
      <c r="F719" s="20">
        <f t="shared" si="187"/>
        <v>0.11313690792005278</v>
      </c>
      <c r="G719" s="20">
        <f t="shared" si="188"/>
        <v>2.4632464167222463</v>
      </c>
      <c r="I719" s="20">
        <f t="shared" si="183"/>
        <v>-0.84035668540072639</v>
      </c>
      <c r="K719" s="20">
        <f t="shared" si="193"/>
        <v>16.706992065594292</v>
      </c>
      <c r="L719" s="20">
        <f t="shared" si="184"/>
        <v>-5.5891001887232589E-3</v>
      </c>
      <c r="M719" s="20">
        <f t="shared" si="189"/>
        <v>-0.12168735442463006</v>
      </c>
      <c r="N719" s="1">
        <f t="shared" si="194"/>
        <v>193.6658472993858</v>
      </c>
      <c r="P719" s="20">
        <f t="shared" si="195"/>
        <v>-18.652242218745794</v>
      </c>
      <c r="Q719" s="20">
        <f t="shared" si="190"/>
        <v>-0.27476301964455035</v>
      </c>
      <c r="R719" s="20">
        <f t="shared" si="191"/>
        <v>-5.982212489539525</v>
      </c>
      <c r="S719" s="20">
        <f t="shared" si="196"/>
        <v>70.66558681105019</v>
      </c>
      <c r="T719" s="1">
        <f t="shared" si="197"/>
        <v>0</v>
      </c>
    </row>
    <row r="720" spans="1:20" x14ac:dyDescent="0.25">
      <c r="A720" s="20">
        <f t="shared" si="192"/>
        <v>7.149999999999892</v>
      </c>
      <c r="C720" s="20">
        <f t="shared" si="182"/>
        <v>25.084343259648691</v>
      </c>
      <c r="D720" s="20">
        <f t="shared" si="185"/>
        <v>0.13515818798575868</v>
      </c>
      <c r="E720" s="20">
        <f t="shared" si="186"/>
        <v>2.9426994989279054</v>
      </c>
      <c r="F720" s="20">
        <f t="shared" si="187"/>
        <v>0.1135328779080373</v>
      </c>
      <c r="G720" s="20">
        <f t="shared" si="188"/>
        <v>2.4718675790994404</v>
      </c>
      <c r="I720" s="20">
        <f t="shared" si="183"/>
        <v>-0.84198397923854462</v>
      </c>
      <c r="K720" s="20">
        <f t="shared" si="193"/>
        <v>16.705775192050044</v>
      </c>
      <c r="L720" s="20">
        <f t="shared" si="184"/>
        <v>-5.3215579909441785E-3</v>
      </c>
      <c r="M720" s="20">
        <f t="shared" si="189"/>
        <v>-0.11586235556159762</v>
      </c>
      <c r="N720" s="1">
        <f t="shared" si="194"/>
        <v>193.83291113567401</v>
      </c>
      <c r="P720" s="20">
        <f t="shared" si="195"/>
        <v>-18.712064343641188</v>
      </c>
      <c r="Q720" s="20">
        <f t="shared" si="190"/>
        <v>-0.27413880460234824</v>
      </c>
      <c r="R720" s="20">
        <f t="shared" si="191"/>
        <v>-5.9686219160101945</v>
      </c>
      <c r="S720" s="20">
        <f t="shared" si="196"/>
        <v>70.478765278238257</v>
      </c>
      <c r="T720" s="1">
        <f t="shared" si="197"/>
        <v>0</v>
      </c>
    </row>
    <row r="721" spans="1:20" x14ac:dyDescent="0.25">
      <c r="A721" s="20">
        <f t="shared" si="192"/>
        <v>7.1599999999998918</v>
      </c>
      <c r="C721" s="20">
        <f t="shared" si="182"/>
        <v>25.128128340416627</v>
      </c>
      <c r="D721" s="20">
        <f t="shared" si="185"/>
        <v>0.13563044089797305</v>
      </c>
      <c r="E721" s="20">
        <f t="shared" si="186"/>
        <v>2.9529815131280874</v>
      </c>
      <c r="F721" s="20">
        <f t="shared" si="187"/>
        <v>0.11392957035429736</v>
      </c>
      <c r="G721" s="20">
        <f t="shared" si="188"/>
        <v>2.4805044710275936</v>
      </c>
      <c r="I721" s="20">
        <f t="shared" si="183"/>
        <v>-0.84360027103370605</v>
      </c>
      <c r="K721" s="20">
        <f t="shared" si="193"/>
        <v>16.70461656849443</v>
      </c>
      <c r="L721" s="20">
        <f t="shared" si="184"/>
        <v>-5.0539790340941998E-3</v>
      </c>
      <c r="M721" s="20">
        <f t="shared" si="189"/>
        <v>-0.11003655637043762</v>
      </c>
      <c r="N721" s="1">
        <f t="shared" si="194"/>
        <v>193.99996309447675</v>
      </c>
      <c r="P721" s="20">
        <f t="shared" si="195"/>
        <v>-18.771750562801291</v>
      </c>
      <c r="Q721" s="20">
        <f t="shared" si="190"/>
        <v>-0.27351392917988138</v>
      </c>
      <c r="R721" s="20">
        <f t="shared" si="191"/>
        <v>-5.9550169645086299</v>
      </c>
      <c r="S721" s="20">
        <f t="shared" si="196"/>
        <v>70.291346203706041</v>
      </c>
      <c r="T721" s="1">
        <f t="shared" si="197"/>
        <v>0</v>
      </c>
    </row>
    <row r="722" spans="1:20" x14ac:dyDescent="0.25">
      <c r="A722" s="20">
        <f t="shared" si="192"/>
        <v>7.1699999999998916</v>
      </c>
      <c r="C722" s="20">
        <f t="shared" si="182"/>
        <v>25.17191571607939</v>
      </c>
      <c r="D722" s="20">
        <f t="shared" si="185"/>
        <v>0.13610354223241641</v>
      </c>
      <c r="E722" s="20">
        <f t="shared" si="186"/>
        <v>2.963281999399443</v>
      </c>
      <c r="F722" s="20">
        <f t="shared" si="187"/>
        <v>0.11432697547522978</v>
      </c>
      <c r="G722" s="20">
        <f t="shared" si="188"/>
        <v>2.4891568794955319</v>
      </c>
      <c r="I722" s="20">
        <f t="shared" si="183"/>
        <v>-0.84520561782418946</v>
      </c>
      <c r="K722" s="20">
        <f t="shared" si="193"/>
        <v>16.703516202930725</v>
      </c>
      <c r="L722" s="20">
        <f t="shared" si="184"/>
        <v>-4.7863685588855898E-3</v>
      </c>
      <c r="M722" s="20">
        <f t="shared" si="189"/>
        <v>-0.10421007095331133</v>
      </c>
      <c r="N722" s="1">
        <f t="shared" si="194"/>
        <v>194.16700375833389</v>
      </c>
      <c r="P722" s="20">
        <f t="shared" si="195"/>
        <v>-18.831300732446376</v>
      </c>
      <c r="Q722" s="20">
        <f t="shared" si="190"/>
        <v>-0.27288840417161658</v>
      </c>
      <c r="R722" s="20">
        <f t="shared" si="191"/>
        <v>-5.941397870054792</v>
      </c>
      <c r="S722" s="20">
        <f t="shared" si="196"/>
        <v>70.103330947229807</v>
      </c>
      <c r="T722" s="1">
        <f t="shared" si="197"/>
        <v>0</v>
      </c>
    </row>
    <row r="723" spans="1:20" x14ac:dyDescent="0.25">
      <c r="A723" s="20">
        <f t="shared" si="192"/>
        <v>7.1799999999998914</v>
      </c>
      <c r="C723" s="20">
        <f t="shared" si="182"/>
        <v>25.215704301750375</v>
      </c>
      <c r="D723" s="20">
        <f t="shared" si="185"/>
        <v>0.13657748036631193</v>
      </c>
      <c r="E723" s="20">
        <f t="shared" si="186"/>
        <v>2.9736007046878279</v>
      </c>
      <c r="F723" s="20">
        <f t="shared" si="187"/>
        <v>0.11472508350770202</v>
      </c>
      <c r="G723" s="20">
        <f t="shared" si="188"/>
        <v>2.4978245919377753</v>
      </c>
      <c r="I723" s="20">
        <f t="shared" si="183"/>
        <v>-0.84680007649124656</v>
      </c>
      <c r="K723" s="20">
        <f t="shared" si="193"/>
        <v>16.702474102221192</v>
      </c>
      <c r="L723" s="20">
        <f t="shared" si="184"/>
        <v>-4.5187318444455671E-3</v>
      </c>
      <c r="M723" s="20">
        <f t="shared" si="189"/>
        <v>-9.8383014248760448E-2</v>
      </c>
      <c r="N723" s="1">
        <f t="shared" si="194"/>
        <v>194.33403370985963</v>
      </c>
      <c r="P723" s="20">
        <f t="shared" si="195"/>
        <v>-18.890714711146924</v>
      </c>
      <c r="Q723" s="20">
        <f t="shared" si="190"/>
        <v>-0.27226224035540725</v>
      </c>
      <c r="R723" s="20">
        <f t="shared" si="191"/>
        <v>-5.9277648673069292</v>
      </c>
      <c r="S723" s="20">
        <f t="shared" si="196"/>
        <v>69.914720870011834</v>
      </c>
      <c r="T723" s="1">
        <f t="shared" si="197"/>
        <v>0</v>
      </c>
    </row>
    <row r="724" spans="1:20" x14ac:dyDescent="0.25">
      <c r="A724" s="20">
        <f t="shared" si="192"/>
        <v>7.1899999999998911</v>
      </c>
      <c r="C724" s="20">
        <f t="shared" si="182"/>
        <v>25.259493022338667</v>
      </c>
      <c r="D724" s="20">
        <f t="shared" si="185"/>
        <v>0.13705224370155045</v>
      </c>
      <c r="E724" s="20">
        <f t="shared" si="186"/>
        <v>2.9839373764761694</v>
      </c>
      <c r="F724" s="20">
        <f t="shared" si="187"/>
        <v>0.11512388470930238</v>
      </c>
      <c r="G724" s="20">
        <f t="shared" si="188"/>
        <v>2.5065073962399822</v>
      </c>
      <c r="I724" s="20">
        <f t="shared" si="183"/>
        <v>-0.84838370375590855</v>
      </c>
      <c r="K724" s="20">
        <f t="shared" si="193"/>
        <v>16.701490272078704</v>
      </c>
      <c r="L724" s="20">
        <f t="shared" si="184"/>
        <v>-4.2510742071887042E-3</v>
      </c>
      <c r="M724" s="20">
        <f t="shared" si="189"/>
        <v>-9.2555502007156634E-2</v>
      </c>
      <c r="N724" s="1">
        <f t="shared" si="194"/>
        <v>194.50105353173112</v>
      </c>
      <c r="P724" s="20">
        <f t="shared" si="195"/>
        <v>-18.949992359819994</v>
      </c>
      <c r="Q724" s="20">
        <f t="shared" si="190"/>
        <v>-0.2716354484920675</v>
      </c>
      <c r="R724" s="20">
        <f t="shared" si="191"/>
        <v>-5.9141181905523084</v>
      </c>
      <c r="S724" s="20">
        <f t="shared" si="196"/>
        <v>69.725517334656999</v>
      </c>
      <c r="T724" s="1">
        <f t="shared" si="197"/>
        <v>0</v>
      </c>
    </row>
    <row r="725" spans="1:20" x14ac:dyDescent="0.25">
      <c r="A725" s="20">
        <f t="shared" si="192"/>
        <v>7.1999999999998909</v>
      </c>
      <c r="C725" s="20">
        <f t="shared" si="182"/>
        <v>25.303280812491842</v>
      </c>
      <c r="D725" s="20">
        <f t="shared" si="185"/>
        <v>0.13752782066498689</v>
      </c>
      <c r="E725" s="20">
        <f t="shared" si="186"/>
        <v>2.9942917627909189</v>
      </c>
      <c r="F725" s="20">
        <f t="shared" si="187"/>
        <v>0.11552336935858899</v>
      </c>
      <c r="G725" s="20">
        <f t="shared" si="188"/>
        <v>2.515205080744372</v>
      </c>
      <c r="I725" s="20">
        <f t="shared" si="183"/>
        <v>-0.84995655617561061</v>
      </c>
      <c r="K725" s="20">
        <f t="shared" si="193"/>
        <v>16.700564717058633</v>
      </c>
      <c r="L725" s="20">
        <f t="shared" si="184"/>
        <v>-3.9834009996991132E-3</v>
      </c>
      <c r="M725" s="20">
        <f t="shared" si="189"/>
        <v>-8.6727650766364323E-2</v>
      </c>
      <c r="N725" s="1">
        <f t="shared" si="194"/>
        <v>194.6680638066768</v>
      </c>
      <c r="P725" s="20">
        <f t="shared" si="195"/>
        <v>-19.009133541725518</v>
      </c>
      <c r="Q725" s="20">
        <f t="shared" si="190"/>
        <v>-0.2710080393249536</v>
      </c>
      <c r="R725" s="20">
        <f t="shared" si="191"/>
        <v>-5.9004580736980969</v>
      </c>
      <c r="S725" s="20">
        <f t="shared" si="196"/>
        <v>69.535721705149271</v>
      </c>
      <c r="T725" s="1">
        <f t="shared" si="197"/>
        <v>0</v>
      </c>
    </row>
    <row r="726" spans="1:20" x14ac:dyDescent="0.25">
      <c r="A726" s="20">
        <f t="shared" si="192"/>
        <v>7.2099999999998907</v>
      </c>
      <c r="C726" s="20">
        <f t="shared" si="182"/>
        <v>25.347066616538736</v>
      </c>
      <c r="D726" s="20">
        <f t="shared" si="185"/>
        <v>0.13800419970873493</v>
      </c>
      <c r="E726" s="20">
        <f t="shared" si="186"/>
        <v>3.0046636122084678</v>
      </c>
      <c r="F726" s="20">
        <f t="shared" si="187"/>
        <v>0.11592352775533735</v>
      </c>
      <c r="G726" s="20">
        <f t="shared" si="188"/>
        <v>2.5239174342551132</v>
      </c>
      <c r="I726" s="20">
        <f t="shared" si="183"/>
        <v>-0.85151869014093129</v>
      </c>
      <c r="K726" s="20">
        <f t="shared" si="193"/>
        <v>16.69969744055097</v>
      </c>
      <c r="L726" s="20">
        <f t="shared" si="184"/>
        <v>-3.7157176096229011E-3</v>
      </c>
      <c r="M726" s="20">
        <f t="shared" si="189"/>
        <v>-8.0899577827626856E-2</v>
      </c>
      <c r="N726" s="1">
        <f t="shared" si="194"/>
        <v>194.83506511746484</v>
      </c>
      <c r="P726" s="20">
        <f t="shared" si="195"/>
        <v>-19.0681381224625</v>
      </c>
      <c r="Q726" s="20">
        <f t="shared" si="190"/>
        <v>-0.27038002357955082</v>
      </c>
      <c r="R726" s="20">
        <f t="shared" si="191"/>
        <v>-5.8867847502623736</v>
      </c>
      <c r="S726" s="20">
        <f t="shared" si="196"/>
        <v>69.345335346828335</v>
      </c>
      <c r="T726" s="1">
        <f t="shared" si="197"/>
        <v>0</v>
      </c>
    </row>
    <row r="727" spans="1:20" x14ac:dyDescent="0.25">
      <c r="A727" s="20">
        <f t="shared" si="192"/>
        <v>7.2199999999998905</v>
      </c>
      <c r="C727" s="20">
        <f t="shared" si="182"/>
        <v>25.390849388432134</v>
      </c>
      <c r="D727" s="20">
        <f t="shared" si="185"/>
        <v>0.1384813693104591</v>
      </c>
      <c r="E727" s="20">
        <f t="shared" si="186"/>
        <v>3.0150526738615087</v>
      </c>
      <c r="F727" s="20">
        <f t="shared" si="187"/>
        <v>0.11632435022078563</v>
      </c>
      <c r="G727" s="20">
        <f t="shared" si="188"/>
        <v>2.5326442460436671</v>
      </c>
      <c r="I727" s="20">
        <f t="shared" si="183"/>
        <v>-0.853070161872445</v>
      </c>
      <c r="K727" s="20">
        <f t="shared" si="193"/>
        <v>16.698888444772695</v>
      </c>
      <c r="L727" s="20">
        <f t="shared" si="184"/>
        <v>-3.4480294585706728E-3</v>
      </c>
      <c r="M727" s="20">
        <f t="shared" si="189"/>
        <v>-7.5071401231671525E-2</v>
      </c>
      <c r="N727" s="1">
        <f t="shared" si="194"/>
        <v>195.00205804689148</v>
      </c>
      <c r="P727" s="20">
        <f t="shared" si="195"/>
        <v>-19.127005969965122</v>
      </c>
      <c r="Q727" s="20">
        <f t="shared" si="190"/>
        <v>-0.26975141196306851</v>
      </c>
      <c r="R727" s="20">
        <f t="shared" si="191"/>
        <v>-5.8730984533653059</v>
      </c>
      <c r="S727" s="20">
        <f t="shared" si="196"/>
        <v>69.154359626366201</v>
      </c>
      <c r="T727" s="1">
        <f t="shared" si="197"/>
        <v>0</v>
      </c>
    </row>
    <row r="728" spans="1:20" x14ac:dyDescent="0.25">
      <c r="A728" s="20">
        <f t="shared" si="192"/>
        <v>7.2299999999998903</v>
      </c>
      <c r="C728" s="20">
        <f t="shared" si="182"/>
        <v>25.434628091691518</v>
      </c>
      <c r="D728" s="20">
        <f t="shared" si="185"/>
        <v>0.13895931797366534</v>
      </c>
      <c r="E728" s="20">
        <f t="shared" si="186"/>
        <v>3.0254586974453592</v>
      </c>
      <c r="F728" s="20">
        <f t="shared" si="187"/>
        <v>0.11672582709787889</v>
      </c>
      <c r="G728" s="20">
        <f t="shared" si="188"/>
        <v>2.5413853058541016</v>
      </c>
      <c r="I728" s="20">
        <f t="shared" si="183"/>
        <v>-0.85461102741768558</v>
      </c>
      <c r="K728" s="20">
        <f t="shared" si="193"/>
        <v>16.698137730760379</v>
      </c>
      <c r="L728" s="20">
        <f t="shared" si="184"/>
        <v>-3.1803420010298594E-3</v>
      </c>
      <c r="M728" s="20">
        <f t="shared" si="189"/>
        <v>-6.9243239735028508E-2</v>
      </c>
      <c r="N728" s="1">
        <f t="shared" si="194"/>
        <v>195.16904317776914</v>
      </c>
      <c r="P728" s="20">
        <f t="shared" si="195"/>
        <v>-19.185736954498775</v>
      </c>
      <c r="Q728" s="20">
        <f t="shared" si="190"/>
        <v>-0.26912221516404033</v>
      </c>
      <c r="R728" s="20">
        <f t="shared" si="191"/>
        <v>-5.8593994157204516</v>
      </c>
      <c r="S728" s="20">
        <f t="shared" si="196"/>
        <v>68.962795911743882</v>
      </c>
      <c r="T728" s="1">
        <f t="shared" si="197"/>
        <v>0</v>
      </c>
    </row>
    <row r="729" spans="1:20" x14ac:dyDescent="0.25">
      <c r="A729" s="20">
        <f t="shared" si="192"/>
        <v>7.2399999999998901</v>
      </c>
      <c r="C729" s="20">
        <f t="shared" si="182"/>
        <v>25.478401699345739</v>
      </c>
      <c r="D729" s="20">
        <f t="shared" si="185"/>
        <v>0.13943803422798939</v>
      </c>
      <c r="E729" s="20">
        <f t="shared" si="186"/>
        <v>3.0358814332242412</v>
      </c>
      <c r="F729" s="20">
        <f t="shared" si="187"/>
        <v>0.11712794875151109</v>
      </c>
      <c r="G729" s="20">
        <f t="shared" si="188"/>
        <v>2.5501404039083626</v>
      </c>
      <c r="I729" s="20">
        <f t="shared" si="183"/>
        <v>-0.85614134264821595</v>
      </c>
      <c r="K729" s="20">
        <f t="shared" si="193"/>
        <v>16.697445298363029</v>
      </c>
      <c r="L729" s="20">
        <f t="shared" si="184"/>
        <v>-2.912660723287594E-3</v>
      </c>
      <c r="M729" s="20">
        <f t="shared" si="189"/>
        <v>-6.3415212786579453E-2</v>
      </c>
      <c r="N729" s="1">
        <f t="shared" si="194"/>
        <v>195.33602109291473</v>
      </c>
      <c r="P729" s="20">
        <f t="shared" si="195"/>
        <v>-19.244330948655978</v>
      </c>
      <c r="Q729" s="20">
        <f t="shared" si="190"/>
        <v>-0.26849244385193161</v>
      </c>
      <c r="R729" s="20">
        <f t="shared" si="191"/>
        <v>-5.8456878696262056</v>
      </c>
      <c r="S729" s="20">
        <f t="shared" si="196"/>
        <v>68.770645572228105</v>
      </c>
      <c r="T729" s="1">
        <f t="shared" si="197"/>
        <v>0</v>
      </c>
    </row>
    <row r="730" spans="1:20" x14ac:dyDescent="0.25">
      <c r="A730" s="20">
        <f t="shared" si="192"/>
        <v>7.2499999999998899</v>
      </c>
      <c r="C730" s="20">
        <f t="shared" si="182"/>
        <v>25.522169193875754</v>
      </c>
      <c r="D730" s="20">
        <f t="shared" si="185"/>
        <v>0.13991750662948305</v>
      </c>
      <c r="E730" s="20">
        <f t="shared" si="186"/>
        <v>3.0463206320375149</v>
      </c>
      <c r="F730" s="20">
        <f t="shared" si="187"/>
        <v>0.11753070556876576</v>
      </c>
      <c r="G730" s="20">
        <f t="shared" si="188"/>
        <v>2.5589093309115123</v>
      </c>
      <c r="I730" s="20">
        <f t="shared" si="183"/>
        <v>-0.85766116325680664</v>
      </c>
      <c r="K730" s="20">
        <f t="shared" si="193"/>
        <v>16.696811146235163</v>
      </c>
      <c r="L730" s="20">
        <f t="shared" si="184"/>
        <v>-2.6449911423630651E-3</v>
      </c>
      <c r="M730" s="20">
        <f t="shared" si="189"/>
        <v>-5.7587440504312325E-2</v>
      </c>
      <c r="N730" s="1">
        <f t="shared" si="194"/>
        <v>195.50299237513772</v>
      </c>
      <c r="P730" s="20">
        <f t="shared" si="195"/>
        <v>-19.30278782735224</v>
      </c>
      <c r="Q730" s="20">
        <f t="shared" si="190"/>
        <v>-0.26786210867675303</v>
      </c>
      <c r="R730" s="20">
        <f t="shared" si="191"/>
        <v>-5.8319640469573928</v>
      </c>
      <c r="S730" s="20">
        <f t="shared" si="196"/>
        <v>68.57790997834806</v>
      </c>
      <c r="T730" s="1">
        <f t="shared" si="197"/>
        <v>0</v>
      </c>
    </row>
    <row r="731" spans="1:20" x14ac:dyDescent="0.25">
      <c r="A731" s="20">
        <f t="shared" si="192"/>
        <v>7.2599999999998897</v>
      </c>
      <c r="C731" s="20">
        <f t="shared" si="182"/>
        <v>25.565929567157337</v>
      </c>
      <c r="D731" s="20">
        <f t="shared" si="185"/>
        <v>0.14039772376089832</v>
      </c>
      <c r="E731" s="20">
        <f t="shared" si="186"/>
        <v>3.0567760453058637</v>
      </c>
      <c r="F731" s="20">
        <f t="shared" si="187"/>
        <v>0.11793408795915458</v>
      </c>
      <c r="G731" s="20">
        <f t="shared" si="188"/>
        <v>2.5676918780569253</v>
      </c>
      <c r="I731" s="20">
        <f t="shared" si="183"/>
        <v>-0.8591705447547151</v>
      </c>
      <c r="K731" s="20">
        <f t="shared" si="193"/>
        <v>16.696235271830119</v>
      </c>
      <c r="L731" s="20">
        <f t="shared" si="184"/>
        <v>-2.3773388049503213E-3</v>
      </c>
      <c r="M731" s="20">
        <f t="shared" si="189"/>
        <v>-5.1760043652303973E-2</v>
      </c>
      <c r="N731" s="1">
        <f t="shared" si="194"/>
        <v>195.66995760722804</v>
      </c>
      <c r="P731" s="20">
        <f t="shared" si="195"/>
        <v>-19.361107467821814</v>
      </c>
      <c r="Q731" s="20">
        <f t="shared" si="190"/>
        <v>-0.26723122026868029</v>
      </c>
      <c r="R731" s="20">
        <f t="shared" si="191"/>
        <v>-5.8182281791569848</v>
      </c>
      <c r="S731" s="20">
        <f t="shared" si="196"/>
        <v>68.384590501872182</v>
      </c>
      <c r="T731" s="1">
        <f t="shared" si="197"/>
        <v>0</v>
      </c>
    </row>
    <row r="732" spans="1:20" x14ac:dyDescent="0.25">
      <c r="A732" s="20">
        <f t="shared" si="192"/>
        <v>7.2699999999998894</v>
      </c>
      <c r="C732" s="20">
        <f t="shared" si="182"/>
        <v>25.609681820403857</v>
      </c>
      <c r="D732" s="20">
        <f t="shared" si="185"/>
        <v>0.14087867423196976</v>
      </c>
      <c r="E732" s="20">
        <f t="shared" si="186"/>
        <v>3.0672474250374431</v>
      </c>
      <c r="F732" s="20">
        <f t="shared" si="187"/>
        <v>0.1183380863548546</v>
      </c>
      <c r="G732" s="20">
        <f t="shared" si="188"/>
        <v>2.5764878370314523</v>
      </c>
      <c r="I732" s="20">
        <f t="shared" si="183"/>
        <v>-0.86066954246906902</v>
      </c>
      <c r="K732" s="20">
        <f t="shared" si="193"/>
        <v>16.695717671393595</v>
      </c>
      <c r="L732" s="20">
        <f t="shared" si="184"/>
        <v>-2.1097092863708033E-3</v>
      </c>
      <c r="M732" s="20">
        <f t="shared" si="189"/>
        <v>-4.5933143617914292E-2</v>
      </c>
      <c r="N732" s="1">
        <f t="shared" si="194"/>
        <v>195.83691737194417</v>
      </c>
      <c r="P732" s="20">
        <f t="shared" si="195"/>
        <v>-19.419289749613384</v>
      </c>
      <c r="Q732" s="20">
        <f t="shared" si="190"/>
        <v>-0.26659978923767996</v>
      </c>
      <c r="R732" s="20">
        <f t="shared" si="191"/>
        <v>-5.8044804972279547</v>
      </c>
      <c r="S732" s="20">
        <f t="shared" si="196"/>
        <v>68.190688515785013</v>
      </c>
      <c r="T732" s="1">
        <f t="shared" si="197"/>
        <v>0</v>
      </c>
    </row>
    <row r="733" spans="1:20" x14ac:dyDescent="0.25">
      <c r="A733" s="20">
        <f t="shared" si="192"/>
        <v>7.2799999999998892</v>
      </c>
      <c r="C733" s="20">
        <f t="shared" si="182"/>
        <v>25.653424964109067</v>
      </c>
      <c r="D733" s="20">
        <f t="shared" si="185"/>
        <v>0.14136034667969424</v>
      </c>
      <c r="E733" s="20">
        <f t="shared" si="186"/>
        <v>3.0777345238339699</v>
      </c>
      <c r="F733" s="20">
        <f t="shared" si="187"/>
        <v>0.11874269121094318</v>
      </c>
      <c r="G733" s="20">
        <f t="shared" si="188"/>
        <v>2.5852970000205353</v>
      </c>
      <c r="I733" s="20">
        <f t="shared" si="183"/>
        <v>-0.86215821154034633</v>
      </c>
      <c r="K733" s="20">
        <f t="shared" si="193"/>
        <v>16.695258339957416</v>
      </c>
      <c r="L733" s="20">
        <f t="shared" si="184"/>
        <v>-1.8421081895362151E-3</v>
      </c>
      <c r="M733" s="20">
        <f t="shared" si="189"/>
        <v>-4.010686238920564E-2</v>
      </c>
      <c r="N733" s="1">
        <f t="shared" si="194"/>
        <v>196.00387225200092</v>
      </c>
      <c r="P733" s="20">
        <f t="shared" si="195"/>
        <v>-19.477334554585664</v>
      </c>
      <c r="Q733" s="20">
        <f t="shared" si="190"/>
        <v>-0.26596782617314191</v>
      </c>
      <c r="R733" s="20">
        <f t="shared" si="191"/>
        <v>-5.7907212317252759</v>
      </c>
      <c r="S733" s="20">
        <f t="shared" si="196"/>
        <v>67.99620539426401</v>
      </c>
      <c r="T733" s="1">
        <f t="shared" si="197"/>
        <v>0</v>
      </c>
    </row>
    <row r="734" spans="1:20" x14ac:dyDescent="0.25">
      <c r="A734" s="20">
        <f t="shared" si="192"/>
        <v>7.289999999999889</v>
      </c>
      <c r="C734" s="20">
        <f t="shared" si="182"/>
        <v>25.697158017989967</v>
      </c>
      <c r="D734" s="20">
        <f t="shared" si="185"/>
        <v>0.14184272976860909</v>
      </c>
      <c r="E734" s="20">
        <f t="shared" si="186"/>
        <v>3.0882370948967797</v>
      </c>
      <c r="F734" s="20">
        <f t="shared" si="187"/>
        <v>0.11914789300563164</v>
      </c>
      <c r="G734" s="20">
        <f t="shared" si="188"/>
        <v>2.5941191597132951</v>
      </c>
      <c r="I734" s="20">
        <f t="shared" si="183"/>
        <v>-0.86363660691995436</v>
      </c>
      <c r="K734" s="20">
        <f t="shared" si="193"/>
        <v>16.694857271333525</v>
      </c>
      <c r="L734" s="20">
        <f t="shared" si="184"/>
        <v>-1.5745411439210127E-3</v>
      </c>
      <c r="M734" s="20">
        <f t="shared" si="189"/>
        <v>-3.428132253257158E-2</v>
      </c>
      <c r="N734" s="1">
        <f t="shared" si="194"/>
        <v>196.17082283005738</v>
      </c>
      <c r="P734" s="20">
        <f t="shared" si="195"/>
        <v>-19.535241766902917</v>
      </c>
      <c r="Q734" s="20">
        <f t="shared" si="190"/>
        <v>-0.2653353416435168</v>
      </c>
      <c r="R734" s="20">
        <f t="shared" si="191"/>
        <v>-5.776950612748025</v>
      </c>
      <c r="S734" s="20">
        <f t="shared" si="196"/>
        <v>67.801142512656568</v>
      </c>
      <c r="T734" s="1">
        <f t="shared" si="197"/>
        <v>0</v>
      </c>
    </row>
    <row r="735" spans="1:20" x14ac:dyDescent="0.25">
      <c r="A735" s="20">
        <f t="shared" si="192"/>
        <v>7.2999999999998888</v>
      </c>
      <c r="C735" s="20">
        <f t="shared" si="182"/>
        <v>25.740880010929697</v>
      </c>
      <c r="D735" s="20">
        <f t="shared" si="185"/>
        <v>0.14232581219106755</v>
      </c>
      <c r="E735" s="20">
        <f t="shared" si="186"/>
        <v>3.0987548920328227</v>
      </c>
      <c r="F735" s="20">
        <f t="shared" si="187"/>
        <v>0.11955368224049674</v>
      </c>
      <c r="G735" s="20">
        <f t="shared" si="188"/>
        <v>2.6029541093075714</v>
      </c>
      <c r="I735" s="20">
        <f t="shared" si="183"/>
        <v>-0.86510478336790342</v>
      </c>
      <c r="K735" s="20">
        <f t="shared" si="193"/>
        <v>16.694514458108198</v>
      </c>
      <c r="L735" s="20">
        <f t="shared" si="184"/>
        <v>-1.3070138045450236E-3</v>
      </c>
      <c r="M735" s="20">
        <f t="shared" si="189"/>
        <v>-2.8456647170586189E-2</v>
      </c>
      <c r="N735" s="1">
        <f t="shared" si="194"/>
        <v>196.33776968870458</v>
      </c>
      <c r="P735" s="20">
        <f t="shared" si="195"/>
        <v>-19.593011273030399</v>
      </c>
      <c r="Q735" s="20">
        <f t="shared" si="190"/>
        <v>-0.26470234619596039</v>
      </c>
      <c r="R735" s="20">
        <f t="shared" si="191"/>
        <v>-5.7631688699316435</v>
      </c>
      <c r="S735" s="20">
        <f t="shared" si="196"/>
        <v>67.6055012474569</v>
      </c>
      <c r="T735" s="1">
        <f t="shared" si="197"/>
        <v>0</v>
      </c>
    </row>
    <row r="736" spans="1:20" x14ac:dyDescent="0.25">
      <c r="A736" s="20">
        <f t="shared" si="192"/>
        <v>7.3099999999998886</v>
      </c>
      <c r="C736" s="20">
        <f t="shared" si="182"/>
        <v>25.784589980920526</v>
      </c>
      <c r="D736" s="20">
        <f t="shared" si="185"/>
        <v>0.1428095826675124</v>
      </c>
      <c r="E736" s="20">
        <f t="shared" si="186"/>
        <v>3.1092876696606226</v>
      </c>
      <c r="F736" s="20">
        <f t="shared" si="187"/>
        <v>0.11996004944071041</v>
      </c>
      <c r="G736" s="20">
        <f t="shared" si="188"/>
        <v>2.6118016425149229</v>
      </c>
      <c r="I736" s="20">
        <f t="shared" si="183"/>
        <v>-0.86656279545057213</v>
      </c>
      <c r="K736" s="20">
        <f t="shared" si="193"/>
        <v>16.694229891636493</v>
      </c>
      <c r="L736" s="20">
        <f t="shared" si="184"/>
        <v>-1.0395318509663076E-3</v>
      </c>
      <c r="M736" s="20">
        <f t="shared" si="189"/>
        <v>-2.263295996007637E-2</v>
      </c>
      <c r="N736" s="1">
        <f t="shared" si="194"/>
        <v>196.50471341045332</v>
      </c>
      <c r="P736" s="20">
        <f t="shared" si="195"/>
        <v>-19.650642961729716</v>
      </c>
      <c r="Q736" s="20">
        <f t="shared" si="190"/>
        <v>-0.26406885035598326</v>
      </c>
      <c r="R736" s="20">
        <f t="shared" si="191"/>
        <v>-5.7493762324403068</v>
      </c>
      <c r="S736" s="20">
        <f t="shared" si="196"/>
        <v>67.409282976283095</v>
      </c>
      <c r="T736" s="1">
        <f t="shared" si="197"/>
        <v>0</v>
      </c>
    </row>
    <row r="737" spans="1:20" x14ac:dyDescent="0.25">
      <c r="A737" s="20">
        <f t="shared" si="192"/>
        <v>7.3199999999998884</v>
      </c>
      <c r="C737" s="20">
        <f t="shared" si="182"/>
        <v>25.828286975006897</v>
      </c>
      <c r="D737" s="20">
        <f t="shared" si="185"/>
        <v>0.14329402994674717</v>
      </c>
      <c r="E737" s="20">
        <f t="shared" si="186"/>
        <v>3.1198351828161806</v>
      </c>
      <c r="F737" s="20">
        <f t="shared" si="187"/>
        <v>0.12036698515526764</v>
      </c>
      <c r="G737" s="20">
        <f t="shared" si="188"/>
        <v>2.6206615535655922</v>
      </c>
      <c r="I737" s="20">
        <f t="shared" si="183"/>
        <v>-0.86801069753856508</v>
      </c>
      <c r="K737" s="20">
        <f t="shared" si="193"/>
        <v>16.69400356203689</v>
      </c>
      <c r="L737" s="20">
        <f t="shared" si="184"/>
        <v>-7.7210098628331669E-4</v>
      </c>
      <c r="M737" s="20">
        <f t="shared" si="189"/>
        <v>-1.681038507039662E-2</v>
      </c>
      <c r="N737" s="1">
        <f t="shared" si="194"/>
        <v>196.67165457772168</v>
      </c>
      <c r="P737" s="20">
        <f t="shared" si="195"/>
        <v>-19.708136724054118</v>
      </c>
      <c r="Q737" s="20">
        <f t="shared" si="190"/>
        <v>-0.26343486462710641</v>
      </c>
      <c r="R737" s="20">
        <f t="shared" si="191"/>
        <v>-5.7355729289594253</v>
      </c>
      <c r="S737" s="20">
        <f t="shared" si="196"/>
        <v>67.212489077854173</v>
      </c>
      <c r="T737" s="1">
        <f t="shared" si="197"/>
        <v>0</v>
      </c>
    </row>
    <row r="738" spans="1:20" x14ac:dyDescent="0.25">
      <c r="A738" s="20">
        <f t="shared" si="192"/>
        <v>7.3299999999998882</v>
      </c>
      <c r="C738" s="20">
        <f t="shared" si="182"/>
        <v>25.871970049228597</v>
      </c>
      <c r="D738" s="20">
        <f t="shared" si="185"/>
        <v>0.14377914280620563</v>
      </c>
      <c r="E738" s="20">
        <f t="shared" si="186"/>
        <v>3.1303971871588425</v>
      </c>
      <c r="F738" s="20">
        <f t="shared" si="187"/>
        <v>0.12077447995721272</v>
      </c>
      <c r="G738" s="20">
        <f t="shared" si="188"/>
        <v>2.6295336372134273</v>
      </c>
      <c r="I738" s="20">
        <f t="shared" si="183"/>
        <v>-0.86944854380465886</v>
      </c>
      <c r="K738" s="20">
        <f t="shared" si="193"/>
        <v>16.693835458186186</v>
      </c>
      <c r="L738" s="20">
        <f t="shared" si="184"/>
        <v>-5.0472693614767028E-4</v>
      </c>
      <c r="M738" s="20">
        <f t="shared" si="189"/>
        <v>-1.0989047161934907E-2</v>
      </c>
      <c r="N738" s="1">
        <f t="shared" si="194"/>
        <v>196.8385937728228</v>
      </c>
      <c r="P738" s="20">
        <f t="shared" si="195"/>
        <v>-19.765492453343711</v>
      </c>
      <c r="Q738" s="20">
        <f t="shared" si="190"/>
        <v>-0.26280039949052186</v>
      </c>
      <c r="R738" s="20">
        <f t="shared" si="191"/>
        <v>-5.7217591876882619</v>
      </c>
      <c r="S738" s="20">
        <f t="shared" si="196"/>
        <v>67.015120931967175</v>
      </c>
      <c r="T738" s="1">
        <f t="shared" si="197"/>
        <v>0</v>
      </c>
    </row>
    <row r="739" spans="1:20" x14ac:dyDescent="0.25">
      <c r="A739" s="20">
        <f t="shared" si="192"/>
        <v>7.3399999999998879</v>
      </c>
      <c r="C739" s="20">
        <f t="shared" si="182"/>
        <v>25.915638268563953</v>
      </c>
      <c r="D739" s="20">
        <f t="shared" si="185"/>
        <v>0.14426491005221806</v>
      </c>
      <c r="E739" s="20">
        <f t="shared" si="186"/>
        <v>3.1409734389770971</v>
      </c>
      <c r="F739" s="20">
        <f t="shared" si="187"/>
        <v>0.12118252444386317</v>
      </c>
      <c r="G739" s="20">
        <f t="shared" si="188"/>
        <v>2.6384176887407613</v>
      </c>
      <c r="I739" s="20">
        <f t="shared" si="183"/>
        <v>-0.870876388221834</v>
      </c>
      <c r="K739" s="20">
        <f t="shared" si="193"/>
        <v>16.693725567714566</v>
      </c>
      <c r="L739" s="20">
        <f t="shared" si="184"/>
        <v>-2.3741544778629886E-4</v>
      </c>
      <c r="M739" s="20">
        <f t="shared" si="189"/>
        <v>-5.1690713648225315E-3</v>
      </c>
      <c r="N739" s="1">
        <f t="shared" si="194"/>
        <v>197.00553157795233</v>
      </c>
      <c r="P739" s="20">
        <f t="shared" si="195"/>
        <v>-19.822710045220592</v>
      </c>
      <c r="Q739" s="20">
        <f t="shared" si="190"/>
        <v>-0.26216546540476027</v>
      </c>
      <c r="R739" s="20">
        <f t="shared" si="191"/>
        <v>-5.7079352363326858</v>
      </c>
      <c r="S739" s="20">
        <f t="shared" si="196"/>
        <v>66.817179919474356</v>
      </c>
      <c r="T739" s="1">
        <f t="shared" si="197"/>
        <v>0</v>
      </c>
    </row>
    <row r="740" spans="1:20" x14ac:dyDescent="0.25">
      <c r="A740" s="20">
        <f t="shared" si="192"/>
        <v>7.3499999999998877</v>
      </c>
      <c r="C740" s="20">
        <f t="shared" si="182"/>
        <v>25.959290706873194</v>
      </c>
      <c r="D740" s="20">
        <f t="shared" si="185"/>
        <v>0.14475132052027623</v>
      </c>
      <c r="E740" s="20">
        <f t="shared" si="186"/>
        <v>3.1515636951943442</v>
      </c>
      <c r="F740" s="20">
        <f t="shared" si="187"/>
        <v>0.12159110923703205</v>
      </c>
      <c r="G740" s="20">
        <f t="shared" si="188"/>
        <v>2.6473135039632494</v>
      </c>
      <c r="I740" s="20">
        <f t="shared" si="183"/>
        <v>-0.87229428456139357</v>
      </c>
      <c r="K740" s="20">
        <f t="shared" si="193"/>
        <v>16.693673877000919</v>
      </c>
      <c r="L740" s="20">
        <f t="shared" si="184"/>
        <v>2.9827710966337517E-5</v>
      </c>
      <c r="M740" s="20">
        <f t="shared" si="189"/>
        <v>6.4941674213667578E-4</v>
      </c>
      <c r="N740" s="1">
        <f t="shared" si="194"/>
        <v>197.17246857517588</v>
      </c>
      <c r="P740" s="20">
        <f t="shared" si="195"/>
        <v>-19.87978939758392</v>
      </c>
      <c r="Q740" s="20">
        <f t="shared" si="190"/>
        <v>-0.26153007280536272</v>
      </c>
      <c r="R740" s="20">
        <f t="shared" si="191"/>
        <v>-5.6941013020980344</v>
      </c>
      <c r="S740" s="20">
        <f t="shared" si="196"/>
        <v>66.618667422260344</v>
      </c>
      <c r="T740" s="1">
        <f t="shared" si="197"/>
        <v>0</v>
      </c>
    </row>
    <row r="741" spans="1:20" x14ac:dyDescent="0.25">
      <c r="A741" s="20">
        <f t="shared" si="192"/>
        <v>7.3599999999998875</v>
      </c>
      <c r="C741" s="20">
        <f t="shared" si="182"/>
        <v>26.00292644684189</v>
      </c>
      <c r="D741" s="20">
        <f t="shared" si="185"/>
        <v>0.14523836307529556</v>
      </c>
      <c r="E741" s="20">
        <f t="shared" si="186"/>
        <v>3.162167713374604</v>
      </c>
      <c r="F741" s="20">
        <f t="shared" si="187"/>
        <v>0.12200022498324828</v>
      </c>
      <c r="G741" s="20">
        <f t="shared" si="188"/>
        <v>2.6562208792346675</v>
      </c>
      <c r="I741" s="20">
        <f t="shared" si="183"/>
        <v>-0.87370228639116276</v>
      </c>
      <c r="K741" s="20">
        <f t="shared" si="193"/>
        <v>16.693680371168341</v>
      </c>
      <c r="L741" s="20">
        <f t="shared" si="184"/>
        <v>2.9699675262598313E-4</v>
      </c>
      <c r="M741" s="20">
        <f t="shared" si="189"/>
        <v>6.4662911523183791E-3</v>
      </c>
      <c r="N741" s="1">
        <f t="shared" si="194"/>
        <v>197.33940534641673</v>
      </c>
      <c r="P741" s="20">
        <f t="shared" si="195"/>
        <v>-19.936730410604902</v>
      </c>
      <c r="Q741" s="20">
        <f t="shared" si="190"/>
        <v>-0.26089423210455853</v>
      </c>
      <c r="R741" s="20">
        <f t="shared" si="191"/>
        <v>-5.6802576116820935</v>
      </c>
      <c r="S741" s="20">
        <f t="shared" si="196"/>
        <v>66.419584823219409</v>
      </c>
      <c r="T741" s="1">
        <f t="shared" si="197"/>
        <v>0</v>
      </c>
    </row>
    <row r="742" spans="1:20" x14ac:dyDescent="0.25">
      <c r="A742" s="20">
        <f t="shared" si="192"/>
        <v>7.3699999999998873</v>
      </c>
      <c r="C742" s="20">
        <f t="shared" si="182"/>
        <v>26.046544579924525</v>
      </c>
      <c r="D742" s="20">
        <f t="shared" si="185"/>
        <v>0.14572602661187523</v>
      </c>
      <c r="E742" s="20">
        <f t="shared" si="186"/>
        <v>3.1727852517281785</v>
      </c>
      <c r="F742" s="20">
        <f t="shared" si="187"/>
        <v>0.1224098623539752</v>
      </c>
      <c r="G742" s="20">
        <f t="shared" si="188"/>
        <v>2.6651396114516701</v>
      </c>
      <c r="I742" s="20">
        <f t="shared" si="183"/>
        <v>-0.87510044707377033</v>
      </c>
      <c r="K742" s="20">
        <f t="shared" si="193"/>
        <v>16.693745034079864</v>
      </c>
      <c r="L742" s="20">
        <f t="shared" si="184"/>
        <v>5.6408587100689744E-4</v>
      </c>
      <c r="M742" s="20">
        <f t="shared" si="189"/>
        <v>1.2281425451924613E-2</v>
      </c>
      <c r="N742" s="1">
        <f t="shared" si="194"/>
        <v>197.50634247344297</v>
      </c>
      <c r="P742" s="20">
        <f t="shared" si="195"/>
        <v>-19.993532986721721</v>
      </c>
      <c r="Q742" s="20">
        <f t="shared" si="190"/>
        <v>-0.2602579536909484</v>
      </c>
      <c r="R742" s="20">
        <f t="shared" si="191"/>
        <v>-5.6664043912681992</v>
      </c>
      <c r="S742" s="20">
        <f t="shared" si="196"/>
        <v>66.219933506232778</v>
      </c>
      <c r="T742" s="1">
        <f t="shared" si="197"/>
        <v>0</v>
      </c>
    </row>
    <row r="743" spans="1:20" x14ac:dyDescent="0.25">
      <c r="A743" s="20">
        <f t="shared" si="192"/>
        <v>7.3799999999998871</v>
      </c>
      <c r="C743" s="20">
        <f t="shared" si="182"/>
        <v>26.090144206288191</v>
      </c>
      <c r="D743" s="20">
        <f t="shared" si="185"/>
        <v>0.14621430005455588</v>
      </c>
      <c r="E743" s="20">
        <f t="shared" si="186"/>
        <v>3.1834160691172628</v>
      </c>
      <c r="F743" s="20">
        <f t="shared" si="187"/>
        <v>0.12282001204582695</v>
      </c>
      <c r="G743" s="20">
        <f t="shared" si="188"/>
        <v>2.6740694980585009</v>
      </c>
      <c r="I743" s="20">
        <f t="shared" si="183"/>
        <v>-0.87648881976501025</v>
      </c>
      <c r="K743" s="20">
        <f t="shared" si="193"/>
        <v>16.693867848334385</v>
      </c>
      <c r="L743" s="20">
        <f t="shared" si="184"/>
        <v>8.3108924216017399E-4</v>
      </c>
      <c r="M743" s="20">
        <f t="shared" si="189"/>
        <v>1.8094692840413106E-2</v>
      </c>
      <c r="N743" s="1">
        <f t="shared" si="194"/>
        <v>197.67328053785505</v>
      </c>
      <c r="P743" s="20">
        <f t="shared" si="195"/>
        <v>-20.050197030634404</v>
      </c>
      <c r="Q743" s="20">
        <f t="shared" si="190"/>
        <v>-0.25962124792919261</v>
      </c>
      <c r="R743" s="20">
        <f t="shared" si="191"/>
        <v>-5.6525418665184546</v>
      </c>
      <c r="S743" s="20">
        <f t="shared" si="196"/>
        <v>66.019714856145995</v>
      </c>
      <c r="T743" s="1">
        <f t="shared" si="197"/>
        <v>0</v>
      </c>
    </row>
    <row r="744" spans="1:20" x14ac:dyDescent="0.25">
      <c r="A744" s="20">
        <f t="shared" si="192"/>
        <v>7.3899999999998869</v>
      </c>
      <c r="C744" s="20">
        <f t="shared" si="182"/>
        <v>26.133724434756385</v>
      </c>
      <c r="D744" s="20">
        <f t="shared" si="185"/>
        <v>0.14670317235807478</v>
      </c>
      <c r="E744" s="20">
        <f t="shared" si="186"/>
        <v>3.1940599250615023</v>
      </c>
      <c r="F744" s="20">
        <f t="shared" si="187"/>
        <v>0.12323066478078282</v>
      </c>
      <c r="G744" s="20">
        <f t="shared" si="188"/>
        <v>2.6830103370516616</v>
      </c>
      <c r="I744" s="20">
        <f t="shared" si="183"/>
        <v>-0.87786745741227901</v>
      </c>
      <c r="K744" s="20">
        <f t="shared" si="193"/>
        <v>16.694048795262788</v>
      </c>
      <c r="L744" s="20">
        <f t="shared" si="184"/>
        <v>1.098001025302317E-3</v>
      </c>
      <c r="M744" s="20">
        <f t="shared" si="189"/>
        <v>2.3905966150714501E-2</v>
      </c>
      <c r="N744" s="1">
        <f t="shared" si="194"/>
        <v>197.84022012107303</v>
      </c>
      <c r="P744" s="20">
        <f t="shared" si="195"/>
        <v>-20.106722449299589</v>
      </c>
      <c r="Q744" s="20">
        <f t="shared" si="190"/>
        <v>-0.25898412515970509</v>
      </c>
      <c r="R744" s="20">
        <f t="shared" si="191"/>
        <v>-5.6386702625670608</v>
      </c>
      <c r="S744" s="20">
        <f t="shared" si="196"/>
        <v>65.81893025874632</v>
      </c>
      <c r="T744" s="1">
        <f t="shared" si="197"/>
        <v>0</v>
      </c>
    </row>
    <row r="745" spans="1:20" x14ac:dyDescent="0.25">
      <c r="A745" s="20">
        <f t="shared" si="192"/>
        <v>7.3999999999998867</v>
      </c>
      <c r="C745" s="20">
        <f t="shared" si="182"/>
        <v>26.177284382753015</v>
      </c>
      <c r="D745" s="20">
        <f t="shared" si="185"/>
        <v>0.1471926325076193</v>
      </c>
      <c r="E745" s="20">
        <f t="shared" si="186"/>
        <v>3.2047165797435078</v>
      </c>
      <c r="F745" s="20">
        <f t="shared" si="187"/>
        <v>0.12364181130640023</v>
      </c>
      <c r="G745" s="20">
        <f t="shared" si="188"/>
        <v>2.6919619269845469</v>
      </c>
      <c r="I745" s="20">
        <f t="shared" si="183"/>
        <v>-0.87923641275308895</v>
      </c>
      <c r="K745" s="20">
        <f t="shared" si="193"/>
        <v>16.694287854924294</v>
      </c>
      <c r="L745" s="20">
        <f t="shared" si="184"/>
        <v>1.3648153637338262E-3</v>
      </c>
      <c r="M745" s="20">
        <f t="shared" si="189"/>
        <v>2.9715117869232009E-2</v>
      </c>
      <c r="N745" s="1">
        <f t="shared" si="194"/>
        <v>198.00716180432394</v>
      </c>
      <c r="P745" s="20">
        <f t="shared" si="195"/>
        <v>-20.163109151925259</v>
      </c>
      <c r="Q745" s="20">
        <f t="shared" si="190"/>
        <v>-0.25834659569835139</v>
      </c>
      <c r="R745" s="20">
        <f t="shared" si="191"/>
        <v>-5.624789804013747</v>
      </c>
      <c r="S745" s="20">
        <f t="shared" si="196"/>
        <v>65.617581100740196</v>
      </c>
      <c r="T745" s="1">
        <f t="shared" si="197"/>
        <v>0</v>
      </c>
    </row>
    <row r="746" spans="1:20" x14ac:dyDescent="0.25">
      <c r="A746" s="20">
        <f t="shared" si="192"/>
        <v>7.4099999999998865</v>
      </c>
      <c r="C746" s="20">
        <f t="shared" si="182"/>
        <v>26.220823176246469</v>
      </c>
      <c r="D746" s="20">
        <f t="shared" si="185"/>
        <v>0.14768266951907721</v>
      </c>
      <c r="E746" s="20">
        <f t="shared" si="186"/>
        <v>3.2153857940143094</v>
      </c>
      <c r="F746" s="20">
        <f t="shared" si="187"/>
        <v>0.12405344239602488</v>
      </c>
      <c r="G746" s="20">
        <f t="shared" si="188"/>
        <v>2.70092406697202</v>
      </c>
      <c r="I746" s="20">
        <f t="shared" si="183"/>
        <v>-0.88059573831365645</v>
      </c>
      <c r="K746" s="20">
        <f t="shared" si="193"/>
        <v>16.694585006102987</v>
      </c>
      <c r="L746" s="20">
        <f t="shared" si="184"/>
        <v>1.6315263857485385E-3</v>
      </c>
      <c r="M746" s="20">
        <f t="shared" si="189"/>
        <v>3.5522020155639857E-2</v>
      </c>
      <c r="N746" s="1">
        <f t="shared" si="194"/>
        <v>198.17410616862907</v>
      </c>
      <c r="P746" s="20">
        <f t="shared" si="195"/>
        <v>-20.219357049965396</v>
      </c>
      <c r="Q746" s="20">
        <f t="shared" si="190"/>
        <v>-0.25770866983615309</v>
      </c>
      <c r="R746" s="20">
        <f t="shared" si="191"/>
        <v>-5.6109007149173333</v>
      </c>
      <c r="S746" s="20">
        <f t="shared" si="196"/>
        <v>65.415668769730743</v>
      </c>
      <c r="T746" s="1">
        <f t="shared" si="197"/>
        <v>0</v>
      </c>
    </row>
    <row r="747" spans="1:20" x14ac:dyDescent="0.25">
      <c r="A747" s="20">
        <f t="shared" si="192"/>
        <v>7.4199999999998862</v>
      </c>
      <c r="C747" s="20">
        <f t="shared" si="182"/>
        <v>26.264339949693895</v>
      </c>
      <c r="D747" s="20">
        <f t="shared" si="185"/>
        <v>0.14817327243928524</v>
      </c>
      <c r="E747" s="20">
        <f t="shared" si="186"/>
        <v>3.2260673293987643</v>
      </c>
      <c r="F747" s="20">
        <f t="shared" si="187"/>
        <v>0.12446554884899962</v>
      </c>
      <c r="G747" s="20">
        <f t="shared" si="188"/>
        <v>2.7098965566949622</v>
      </c>
      <c r="I747" s="20">
        <f t="shared" si="183"/>
        <v>-0.88194548640756076</v>
      </c>
      <c r="K747" s="20">
        <f t="shared" si="193"/>
        <v>16.694940226304542</v>
      </c>
      <c r="L747" s="20">
        <f t="shared" si="184"/>
        <v>1.8981282055330201E-3</v>
      </c>
      <c r="M747" s="20">
        <f t="shared" si="189"/>
        <v>4.1326544862465057E-2</v>
      </c>
      <c r="N747" s="1">
        <f t="shared" si="194"/>
        <v>198.34105379479112</v>
      </c>
      <c r="P747" s="20">
        <f t="shared" si="195"/>
        <v>-20.275466057114571</v>
      </c>
      <c r="Q747" s="20">
        <f t="shared" si="190"/>
        <v>-0.2570703578389964</v>
      </c>
      <c r="R747" s="20">
        <f t="shared" si="191"/>
        <v>-5.5970032187893839</v>
      </c>
      <c r="S747" s="20">
        <f t="shared" si="196"/>
        <v>65.213194654195334</v>
      </c>
      <c r="T747" s="1">
        <f t="shared" si="197"/>
        <v>0</v>
      </c>
    </row>
    <row r="748" spans="1:20" x14ac:dyDescent="0.25">
      <c r="A748" s="20">
        <f t="shared" si="192"/>
        <v>7.429999999999886</v>
      </c>
      <c r="C748" s="20">
        <f t="shared" si="182"/>
        <v>26.307833845985598</v>
      </c>
      <c r="D748" s="20">
        <f t="shared" si="185"/>
        <v>0.14866443034627477</v>
      </c>
      <c r="E748" s="20">
        <f t="shared" si="186"/>
        <v>3.2367609481009096</v>
      </c>
      <c r="F748" s="20">
        <f t="shared" si="187"/>
        <v>0.12487812149087081</v>
      </c>
      <c r="G748" s="20">
        <f t="shared" si="188"/>
        <v>2.7188791964047643</v>
      </c>
      <c r="I748" s="20">
        <f t="shared" si="183"/>
        <v>-0.88328570913447368</v>
      </c>
      <c r="K748" s="20">
        <f t="shared" si="193"/>
        <v>16.695353491753167</v>
      </c>
      <c r="L748" s="20">
        <f t="shared" si="184"/>
        <v>2.1646149240563267E-3</v>
      </c>
      <c r="M748" s="20">
        <f t="shared" si="189"/>
        <v>4.7128563554459539E-2</v>
      </c>
      <c r="N748" s="1">
        <f t="shared" si="194"/>
        <v>198.50800526338142</v>
      </c>
      <c r="P748" s="20">
        <f t="shared" si="195"/>
        <v>-20.331436089302464</v>
      </c>
      <c r="Q748" s="20">
        <f t="shared" si="190"/>
        <v>-0.2564316699473459</v>
      </c>
      <c r="R748" s="20">
        <f t="shared" si="191"/>
        <v>-5.58309753858798</v>
      </c>
      <c r="S748" s="20">
        <f t="shared" si="196"/>
        <v>65.010160143463253</v>
      </c>
      <c r="T748" s="1">
        <f t="shared" si="197"/>
        <v>0</v>
      </c>
    </row>
    <row r="749" spans="1:20" x14ac:dyDescent="0.25">
      <c r="A749" s="20">
        <f t="shared" si="192"/>
        <v>7.4399999999998858</v>
      </c>
      <c r="C749" s="20">
        <f t="shared" ref="C749:C812" si="198">SQRT((K749^2)+(P749^2))</f>
        <v>26.351304016389644</v>
      </c>
      <c r="D749" s="20">
        <f t="shared" si="185"/>
        <v>0.14915613234951561</v>
      </c>
      <c r="E749" s="20">
        <f t="shared" si="186"/>
        <v>3.2474664130092665</v>
      </c>
      <c r="F749" s="20">
        <f t="shared" si="187"/>
        <v>0.12529115117359313</v>
      </c>
      <c r="G749" s="20">
        <f t="shared" si="188"/>
        <v>2.7278717869277842</v>
      </c>
      <c r="I749" s="20">
        <f t="shared" ref="I749:I812" si="199">ATAN(P749/K749)</f>
        <v>-0.8846164583789583</v>
      </c>
      <c r="K749" s="20">
        <f t="shared" si="193"/>
        <v>16.695824777388712</v>
      </c>
      <c r="L749" s="20">
        <f t="shared" ref="L749:L812" si="200">-(D749*COS(I749))-(F749*SIN(I749))</f>
        <v>2.4309806299501469E-3</v>
      </c>
      <c r="M749" s="20">
        <f t="shared" si="189"/>
        <v>5.2927947527762836E-2</v>
      </c>
      <c r="N749" s="1">
        <f t="shared" si="194"/>
        <v>198.67496115472713</v>
      </c>
      <c r="P749" s="20">
        <f t="shared" si="195"/>
        <v>-20.387267064688345</v>
      </c>
      <c r="Q749" s="20">
        <f t="shared" si="190"/>
        <v>-0.25579261637596307</v>
      </c>
      <c r="R749" s="20">
        <f t="shared" si="191"/>
        <v>-5.5691838967115848</v>
      </c>
      <c r="S749" s="20">
        <f t="shared" si="196"/>
        <v>64.806566627693286</v>
      </c>
      <c r="T749" s="1">
        <f t="shared" si="197"/>
        <v>0</v>
      </c>
    </row>
    <row r="750" spans="1:20" x14ac:dyDescent="0.25">
      <c r="A750" s="20">
        <f t="shared" si="192"/>
        <v>7.4499999999998856</v>
      </c>
      <c r="C750" s="20">
        <f t="shared" si="198"/>
        <v>26.394749620496587</v>
      </c>
      <c r="D750" s="20">
        <f t="shared" si="185"/>
        <v>0.14964836759015704</v>
      </c>
      <c r="E750" s="20">
        <f t="shared" si="186"/>
        <v>3.258183487702091</v>
      </c>
      <c r="F750" s="20">
        <f t="shared" si="187"/>
        <v>0.12570462877573191</v>
      </c>
      <c r="G750" s="20">
        <f t="shared" si="188"/>
        <v>2.7368741296697565</v>
      </c>
      <c r="I750" s="20">
        <f t="shared" si="199"/>
        <v>-0.88593778580933424</v>
      </c>
      <c r="K750" s="20">
        <f t="shared" si="193"/>
        <v>16.696354056863989</v>
      </c>
      <c r="L750" s="20">
        <f t="shared" si="200"/>
        <v>2.6972194003794525E-3</v>
      </c>
      <c r="M750" s="20">
        <f t="shared" si="189"/>
        <v>5.8724567828858099E-2</v>
      </c>
      <c r="N750" s="1">
        <f t="shared" si="194"/>
        <v>198.8419220488984</v>
      </c>
      <c r="P750" s="20">
        <f t="shared" si="195"/>
        <v>-20.442958903655462</v>
      </c>
      <c r="Q750" s="20">
        <f t="shared" si="190"/>
        <v>-0.25515320731362973</v>
      </c>
      <c r="R750" s="20">
        <f t="shared" si="191"/>
        <v>-5.5552625149930268</v>
      </c>
      <c r="S750" s="20">
        <f t="shared" si="196"/>
        <v>64.602415497851567</v>
      </c>
      <c r="T750" s="1">
        <f t="shared" si="197"/>
        <v>0</v>
      </c>
    </row>
    <row r="751" spans="1:20" x14ac:dyDescent="0.25">
      <c r="A751" s="20">
        <f t="shared" si="192"/>
        <v>7.4599999999998854</v>
      </c>
      <c r="C751" s="20">
        <f t="shared" si="198"/>
        <v>26.438169826164401</v>
      </c>
      <c r="D751" s="20">
        <f t="shared" si="185"/>
        <v>0.15014112524126644</v>
      </c>
      <c r="E751" s="20">
        <f t="shared" si="186"/>
        <v>3.2689119364525681</v>
      </c>
      <c r="F751" s="20">
        <f t="shared" si="187"/>
        <v>0.12611854520266383</v>
      </c>
      <c r="G751" s="20">
        <f t="shared" si="188"/>
        <v>2.7458860266201577</v>
      </c>
      <c r="I751" s="20">
        <f t="shared" si="199"/>
        <v>-0.88724974287660774</v>
      </c>
      <c r="K751" s="20">
        <f t="shared" si="193"/>
        <v>16.696941302542278</v>
      </c>
      <c r="L751" s="20">
        <f t="shared" si="200"/>
        <v>2.9633253019034772E-3</v>
      </c>
      <c r="M751" s="20">
        <f t="shared" si="189"/>
        <v>6.4518295273317594E-2</v>
      </c>
      <c r="N751" s="1">
        <f t="shared" si="194"/>
        <v>199.00888852569543</v>
      </c>
      <c r="P751" s="20">
        <f t="shared" si="195"/>
        <v>-20.498511528805391</v>
      </c>
      <c r="Q751" s="20">
        <f t="shared" si="190"/>
        <v>-0.25451345292287636</v>
      </c>
      <c r="R751" s="20">
        <f t="shared" si="191"/>
        <v>-5.5413336146935848</v>
      </c>
      <c r="S751" s="20">
        <f t="shared" si="196"/>
        <v>64.397708145689265</v>
      </c>
      <c r="T751" s="1">
        <f t="shared" si="197"/>
        <v>0</v>
      </c>
    </row>
    <row r="752" spans="1:20" x14ac:dyDescent="0.25">
      <c r="A752" s="20">
        <f t="shared" si="192"/>
        <v>7.4699999999998852</v>
      </c>
      <c r="C752" s="20">
        <f t="shared" si="198"/>
        <v>26.48156380946358</v>
      </c>
      <c r="D752" s="20">
        <f t="shared" si="185"/>
        <v>0.15063439450806565</v>
      </c>
      <c r="E752" s="20">
        <f t="shared" si="186"/>
        <v>3.279651524233957</v>
      </c>
      <c r="F752" s="20">
        <f t="shared" si="187"/>
        <v>0.12653289138677515</v>
      </c>
      <c r="G752" s="20">
        <f t="shared" si="188"/>
        <v>2.754907280356524</v>
      </c>
      <c r="I752" s="20">
        <f t="shared" si="199"/>
        <v>-0.88855238081346755</v>
      </c>
      <c r="K752" s="20">
        <f t="shared" si="193"/>
        <v>16.697586485495012</v>
      </c>
      <c r="L752" s="20">
        <f t="shared" si="200"/>
        <v>3.2292923913272986E-3</v>
      </c>
      <c r="M752" s="20">
        <f t="shared" si="189"/>
        <v>7.0309000464343532E-2</v>
      </c>
      <c r="N752" s="1">
        <f t="shared" si="194"/>
        <v>199.17586116463559</v>
      </c>
      <c r="P752" s="20">
        <f t="shared" si="195"/>
        <v>-20.553924864952329</v>
      </c>
      <c r="Q752" s="20">
        <f t="shared" si="190"/>
        <v>-0.25387336333971455</v>
      </c>
      <c r="R752" s="20">
        <f t="shared" si="191"/>
        <v>-5.52739741649716</v>
      </c>
      <c r="S752" s="20">
        <f t="shared" si="196"/>
        <v>64.192445963720473</v>
      </c>
      <c r="T752" s="1">
        <f t="shared" si="197"/>
        <v>0</v>
      </c>
    </row>
    <row r="753" spans="1:20" x14ac:dyDescent="0.25">
      <c r="A753" s="20">
        <f t="shared" si="192"/>
        <v>7.479999999999885</v>
      </c>
      <c r="C753" s="20">
        <f t="shared" si="198"/>
        <v>26.524930754622424</v>
      </c>
      <c r="D753" s="20">
        <f t="shared" si="185"/>
        <v>0.15112816462816478</v>
      </c>
      <c r="E753" s="20">
        <f t="shared" si="186"/>
        <v>3.290402016724685</v>
      </c>
      <c r="F753" s="20">
        <f t="shared" si="187"/>
        <v>0.12694765828765842</v>
      </c>
      <c r="G753" s="20">
        <f t="shared" si="188"/>
        <v>2.7639376940487357</v>
      </c>
      <c r="I753" s="20">
        <f t="shared" si="199"/>
        <v>-0.88984575063334048</v>
      </c>
      <c r="K753" s="20">
        <f t="shared" si="193"/>
        <v>16.698289575499658</v>
      </c>
      <c r="L753" s="20">
        <f t="shared" si="200"/>
        <v>3.4951147165439428E-3</v>
      </c>
      <c r="M753" s="20">
        <f t="shared" si="189"/>
        <v>7.6096553811102613E-2</v>
      </c>
      <c r="N753" s="1">
        <f t="shared" si="194"/>
        <v>199.34284054494057</v>
      </c>
      <c r="P753" s="20">
        <f t="shared" si="195"/>
        <v>-20.609198839117301</v>
      </c>
      <c r="Q753" s="20">
        <f t="shared" si="190"/>
        <v>-0.25323294867337454</v>
      </c>
      <c r="R753" s="20">
        <f t="shared" si="191"/>
        <v>-5.5134541405045621</v>
      </c>
      <c r="S753" s="20">
        <f t="shared" si="196"/>
        <v>63.986630345200126</v>
      </c>
      <c r="T753" s="1">
        <f t="shared" si="197"/>
        <v>0</v>
      </c>
    </row>
    <row r="754" spans="1:20" x14ac:dyDescent="0.25">
      <c r="A754" s="20">
        <f t="shared" si="192"/>
        <v>7.4899999999998847</v>
      </c>
      <c r="C754" s="20">
        <f t="shared" si="198"/>
        <v>26.568269853972499</v>
      </c>
      <c r="D754" s="20">
        <f t="shared" si="185"/>
        <v>0.15162242487179337</v>
      </c>
      <c r="E754" s="20">
        <f t="shared" si="186"/>
        <v>3.3011631803133761</v>
      </c>
      <c r="F754" s="20">
        <f t="shared" si="187"/>
        <v>0.12736283689230643</v>
      </c>
      <c r="G754" s="20">
        <f t="shared" si="188"/>
        <v>2.7729770714632362</v>
      </c>
      <c r="I754" s="20">
        <f t="shared" si="199"/>
        <v>-0.89112990312950968</v>
      </c>
      <c r="K754" s="20">
        <f t="shared" si="193"/>
        <v>16.699050541037767</v>
      </c>
      <c r="L754" s="20">
        <f t="shared" si="200"/>
        <v>3.7607863173669126E-3</v>
      </c>
      <c r="M754" s="20">
        <f t="shared" si="189"/>
        <v>8.1880825546852012E-2</v>
      </c>
      <c r="N754" s="1">
        <f t="shared" si="194"/>
        <v>199.50982724552324</v>
      </c>
      <c r="P754" s="20">
        <f t="shared" si="195"/>
        <v>-20.664333380522347</v>
      </c>
      <c r="Q754" s="20">
        <f t="shared" si="190"/>
        <v>-0.2525922190060475</v>
      </c>
      <c r="R754" s="20">
        <f t="shared" si="191"/>
        <v>-5.4995040062279017</v>
      </c>
      <c r="S754" s="20">
        <f t="shared" si="196"/>
        <v>63.780262684101928</v>
      </c>
      <c r="T754" s="1">
        <f t="shared" si="197"/>
        <v>0</v>
      </c>
    </row>
    <row r="755" spans="1:20" x14ac:dyDescent="0.25">
      <c r="A755" s="20">
        <f t="shared" si="192"/>
        <v>7.4999999999998845</v>
      </c>
      <c r="C755" s="20">
        <f t="shared" si="198"/>
        <v>26.611580307894336</v>
      </c>
      <c r="D755" s="20">
        <f t="shared" si="185"/>
        <v>0.15211716454202973</v>
      </c>
      <c r="E755" s="20">
        <f t="shared" si="186"/>
        <v>3.3119347821038478</v>
      </c>
      <c r="F755" s="20">
        <f t="shared" si="187"/>
        <v>0.12777841821530497</v>
      </c>
      <c r="G755" s="20">
        <f t="shared" si="188"/>
        <v>2.7820252169672322</v>
      </c>
      <c r="I755" s="20">
        <f t="shared" si="199"/>
        <v>-0.89240488887429059</v>
      </c>
      <c r="K755" s="20">
        <f t="shared" si="193"/>
        <v>16.699869349293234</v>
      </c>
      <c r="L755" s="20">
        <f t="shared" si="200"/>
        <v>4.0263012263534737E-3</v>
      </c>
      <c r="M755" s="20">
        <f t="shared" si="189"/>
        <v>8.7661685746864226E-2</v>
      </c>
      <c r="N755" s="1">
        <f t="shared" si="194"/>
        <v>199.67682184497491</v>
      </c>
      <c r="P755" s="20">
        <f t="shared" si="195"/>
        <v>-20.719328420584628</v>
      </c>
      <c r="Q755" s="20">
        <f t="shared" si="190"/>
        <v>-0.2519511843926312</v>
      </c>
      <c r="R755" s="20">
        <f t="shared" si="191"/>
        <v>-5.4855472325850467</v>
      </c>
      <c r="S755" s="20">
        <f t="shared" si="196"/>
        <v>63.57334437509639</v>
      </c>
      <c r="T755" s="1">
        <f t="shared" si="197"/>
        <v>0</v>
      </c>
    </row>
    <row r="756" spans="1:20" x14ac:dyDescent="0.25">
      <c r="A756" s="20">
        <f t="shared" si="192"/>
        <v>7.5099999999998843</v>
      </c>
      <c r="C756" s="20">
        <f t="shared" si="198"/>
        <v>26.654861324763257</v>
      </c>
      <c r="D756" s="20">
        <f t="shared" si="185"/>
        <v>0.15261237297502675</v>
      </c>
      <c r="E756" s="20">
        <f t="shared" si="186"/>
        <v>3.3227165899200251</v>
      </c>
      <c r="F756" s="20">
        <f t="shared" si="187"/>
        <v>0.12819439329902246</v>
      </c>
      <c r="G756" s="20">
        <f t="shared" si="188"/>
        <v>2.7910819355328211</v>
      </c>
      <c r="I756" s="20">
        <f t="shared" si="199"/>
        <v>-0.89367075821826569</v>
      </c>
      <c r="K756" s="20">
        <f t="shared" si="193"/>
        <v>16.700745966150702</v>
      </c>
      <c r="L756" s="20">
        <f t="shared" si="200"/>
        <v>4.2916534696184616E-3</v>
      </c>
      <c r="M756" s="20">
        <f t="shared" si="189"/>
        <v>9.3439004346145479E-2</v>
      </c>
      <c r="N756" s="1">
        <f t="shared" si="194"/>
        <v>199.84382492155211</v>
      </c>
      <c r="P756" s="20">
        <f t="shared" si="195"/>
        <v>-20.774183892910479</v>
      </c>
      <c r="Q756" s="20">
        <f t="shared" si="190"/>
        <v>-0.25130985486048163</v>
      </c>
      <c r="R756" s="20">
        <f t="shared" si="191"/>
        <v>-5.4715840378942229</v>
      </c>
      <c r="S756" s="20">
        <f t="shared" si="196"/>
        <v>63.365876813528921</v>
      </c>
      <c r="T756" s="1">
        <f t="shared" si="197"/>
        <v>0</v>
      </c>
    </row>
    <row r="757" spans="1:20" x14ac:dyDescent="0.25">
      <c r="A757" s="20">
        <f t="shared" si="192"/>
        <v>7.5199999999998841</v>
      </c>
      <c r="C757" s="20">
        <f t="shared" si="198"/>
        <v>26.69811212089548</v>
      </c>
      <c r="D757" s="20">
        <f t="shared" si="185"/>
        <v>0.1531080395402365</v>
      </c>
      <c r="E757" s="20">
        <f t="shared" si="186"/>
        <v>3.3335083723108316</v>
      </c>
      <c r="F757" s="20">
        <f t="shared" si="187"/>
        <v>0.12861075321379867</v>
      </c>
      <c r="G757" s="20">
        <f t="shared" si="188"/>
        <v>2.8001470327410987</v>
      </c>
      <c r="I757" s="20">
        <f t="shared" si="199"/>
        <v>-0.89492756128957529</v>
      </c>
      <c r="K757" s="20">
        <f t="shared" si="193"/>
        <v>16.701680356194164</v>
      </c>
      <c r="L757" s="20">
        <f t="shared" si="200"/>
        <v>4.5568370676389025E-3</v>
      </c>
      <c r="M757" s="20">
        <f t="shared" si="189"/>
        <v>9.9212651156954115E-2</v>
      </c>
      <c r="N757" s="1">
        <f t="shared" si="194"/>
        <v>200.01083705316384</v>
      </c>
      <c r="P757" s="20">
        <f t="shared" si="195"/>
        <v>-20.828899733289422</v>
      </c>
      <c r="Q757" s="20">
        <f t="shared" si="190"/>
        <v>-0.25066824040916763</v>
      </c>
      <c r="R757" s="20">
        <f t="shared" si="191"/>
        <v>-5.4576146398686616</v>
      </c>
      <c r="S757" s="20">
        <f t="shared" si="196"/>
        <v>63.157861395397923</v>
      </c>
      <c r="T757" s="1">
        <f t="shared" si="197"/>
        <v>0</v>
      </c>
    </row>
    <row r="758" spans="1:20" x14ac:dyDescent="0.25">
      <c r="A758" s="20">
        <f t="shared" si="192"/>
        <v>7.5299999999998839</v>
      </c>
      <c r="C758" s="20">
        <f t="shared" si="198"/>
        <v>26.741331920494357</v>
      </c>
      <c r="D758" s="20">
        <f t="shared" si="185"/>
        <v>0.15360415364063104</v>
      </c>
      <c r="E758" s="20">
        <f t="shared" si="186"/>
        <v>3.3443098985549979</v>
      </c>
      <c r="F758" s="20">
        <f t="shared" si="187"/>
        <v>0.12902748905813008</v>
      </c>
      <c r="G758" s="20">
        <f t="shared" si="188"/>
        <v>2.8092203147861983</v>
      </c>
      <c r="I758" s="20">
        <f t="shared" si="199"/>
        <v>-0.89617534799326248</v>
      </c>
      <c r="K758" s="20">
        <f t="shared" si="193"/>
        <v>16.702672482705733</v>
      </c>
      <c r="L758" s="20">
        <f t="shared" si="200"/>
        <v>4.8218460360491266E-3</v>
      </c>
      <c r="M758" s="20">
        <f t="shared" si="189"/>
        <v>0.10498249588611205</v>
      </c>
      <c r="N758" s="1">
        <f t="shared" si="194"/>
        <v>200.17785881735836</v>
      </c>
      <c r="P758" s="20">
        <f t="shared" si="195"/>
        <v>-20.88347587968811</v>
      </c>
      <c r="Q758" s="20">
        <f t="shared" si="190"/>
        <v>-0.2500263510102308</v>
      </c>
      <c r="R758" s="20">
        <f t="shared" si="191"/>
        <v>-5.4436392556113828</v>
      </c>
      <c r="S758" s="20">
        <f t="shared" si="196"/>
        <v>62.949299517333039</v>
      </c>
      <c r="T758" s="1">
        <f t="shared" si="197"/>
        <v>0</v>
      </c>
    </row>
    <row r="759" spans="1:20" x14ac:dyDescent="0.25">
      <c r="A759" s="20">
        <f t="shared" si="192"/>
        <v>7.5399999999998837</v>
      </c>
      <c r="C759" s="20">
        <f t="shared" si="198"/>
        <v>26.78451995559687</v>
      </c>
      <c r="D759" s="20">
        <f t="shared" si="185"/>
        <v>0.15410070471292167</v>
      </c>
      <c r="E759" s="20">
        <f t="shared" si="186"/>
        <v>3.3551209386658321</v>
      </c>
      <c r="F759" s="20">
        <f t="shared" si="187"/>
        <v>0.12944459195885422</v>
      </c>
      <c r="G759" s="20">
        <f t="shared" si="188"/>
        <v>2.8183015884792995</v>
      </c>
      <c r="I759" s="20">
        <f t="shared" si="199"/>
        <v>-0.89741416801067264</v>
      </c>
      <c r="K759" s="20">
        <f t="shared" si="193"/>
        <v>16.703722307664595</v>
      </c>
      <c r="L759" s="20">
        <f t="shared" si="200"/>
        <v>5.0866743864269176E-3</v>
      </c>
      <c r="M759" s="20">
        <f t="shared" si="189"/>
        <v>0.110748408152121</v>
      </c>
      <c r="N759" s="1">
        <f t="shared" si="194"/>
        <v>200.34489079131021</v>
      </c>
      <c r="P759" s="20">
        <f t="shared" si="195"/>
        <v>-20.937912272244223</v>
      </c>
      <c r="Q759" s="20">
        <f t="shared" si="190"/>
        <v>-0.24938419660694891</v>
      </c>
      <c r="R759" s="20">
        <f t="shared" si="191"/>
        <v>-5.4296581016100349</v>
      </c>
      <c r="S759" s="20">
        <f t="shared" si="196"/>
        <v>62.740192576573378</v>
      </c>
      <c r="T759" s="1">
        <f t="shared" si="197"/>
        <v>0</v>
      </c>
    </row>
    <row r="760" spans="1:20" x14ac:dyDescent="0.25">
      <c r="A760" s="20">
        <f t="shared" si="192"/>
        <v>7.5499999999998835</v>
      </c>
      <c r="C760" s="20">
        <f t="shared" si="198"/>
        <v>26.827675466020342</v>
      </c>
      <c r="D760" s="20">
        <f t="shared" si="185"/>
        <v>0.1545976822277754</v>
      </c>
      <c r="E760" s="20">
        <f t="shared" si="186"/>
        <v>3.3659412633959374</v>
      </c>
      <c r="F760" s="20">
        <f t="shared" si="187"/>
        <v>0.12986205307133133</v>
      </c>
      <c r="G760" s="20">
        <f t="shared" si="188"/>
        <v>2.8273906612525872</v>
      </c>
      <c r="I760" s="20">
        <f t="shared" si="199"/>
        <v>-0.89864407079890407</v>
      </c>
      <c r="K760" s="20">
        <f t="shared" si="193"/>
        <v>16.704829791746118</v>
      </c>
      <c r="L760" s="20">
        <f t="shared" si="200"/>
        <v>5.3513161270702658E-3</v>
      </c>
      <c r="M760" s="20">
        <f t="shared" si="189"/>
        <v>0.11651025750207415</v>
      </c>
      <c r="N760" s="1">
        <f t="shared" si="194"/>
        <v>200.51193355180726</v>
      </c>
      <c r="P760" s="20">
        <f t="shared" si="195"/>
        <v>-20.992208853260323</v>
      </c>
      <c r="Q760" s="20">
        <f t="shared" si="190"/>
        <v>-0.24874178711410388</v>
      </c>
      <c r="R760" s="20">
        <f t="shared" si="191"/>
        <v>-5.4156713937318504</v>
      </c>
      <c r="S760" s="20">
        <f t="shared" si="196"/>
        <v>62.530541970945855</v>
      </c>
      <c r="T760" s="1">
        <f t="shared" si="197"/>
        <v>0</v>
      </c>
    </row>
    <row r="761" spans="1:20" x14ac:dyDescent="0.25">
      <c r="A761" s="20">
        <f t="shared" si="192"/>
        <v>7.5599999999998833</v>
      </c>
      <c r="C761" s="20">
        <f t="shared" si="198"/>
        <v>26.870797699309303</v>
      </c>
      <c r="D761" s="20">
        <f t="shared" si="185"/>
        <v>0.15509507569002845</v>
      </c>
      <c r="E761" s="20">
        <f t="shared" si="186"/>
        <v>3.3767706442418564</v>
      </c>
      <c r="F761" s="20">
        <f t="shared" si="187"/>
        <v>0.1302798635796239</v>
      </c>
      <c r="G761" s="20">
        <f t="shared" si="188"/>
        <v>2.836487341163159</v>
      </c>
      <c r="I761" s="20">
        <f t="shared" si="199"/>
        <v>-0.89986510559030974</v>
      </c>
      <c r="K761" s="20">
        <f t="shared" si="193"/>
        <v>16.705994894321137</v>
      </c>
      <c r="L761" s="20">
        <f t="shared" si="200"/>
        <v>5.6157652637649769E-3</v>
      </c>
      <c r="M761" s="20">
        <f t="shared" si="189"/>
        <v>0.12226791342836876</v>
      </c>
      <c r="N761" s="1">
        <f t="shared" si="194"/>
        <v>200.67898767523761</v>
      </c>
      <c r="P761" s="20">
        <f t="shared" si="195"/>
        <v>-21.04636556719764</v>
      </c>
      <c r="Q761" s="20">
        <f t="shared" si="190"/>
        <v>-0.24809913241775422</v>
      </c>
      <c r="R761" s="20">
        <f t="shared" si="191"/>
        <v>-5.4016793472186855</v>
      </c>
      <c r="S761" s="20">
        <f t="shared" si="196"/>
        <v>62.320349098843565</v>
      </c>
      <c r="T761" s="1">
        <f t="shared" si="197"/>
        <v>0</v>
      </c>
    </row>
    <row r="762" spans="1:20" x14ac:dyDescent="0.25">
      <c r="A762" s="20">
        <f t="shared" si="192"/>
        <v>7.569999999999883</v>
      </c>
      <c r="C762" s="20">
        <f t="shared" si="198"/>
        <v>26.913885910682687</v>
      </c>
      <c r="D762" s="20">
        <f t="shared" si="185"/>
        <v>0.15559287463889818</v>
      </c>
      <c r="E762" s="20">
        <f t="shared" si="186"/>
        <v>3.3876088534486866</v>
      </c>
      <c r="F762" s="20">
        <f t="shared" si="187"/>
        <v>0.13069801469667447</v>
      </c>
      <c r="G762" s="20">
        <f t="shared" si="188"/>
        <v>2.8455914368968971</v>
      </c>
      <c r="I762" s="20">
        <f t="shared" si="199"/>
        <v>-0.90107732139204832</v>
      </c>
      <c r="K762" s="20">
        <f t="shared" si="193"/>
        <v>16.70721757345542</v>
      </c>
      <c r="L762" s="20">
        <f t="shared" si="200"/>
        <v>5.8800158005431619E-3</v>
      </c>
      <c r="M762" s="20">
        <f t="shared" si="189"/>
        <v>0.12802124538522017</v>
      </c>
      <c r="N762" s="1">
        <f t="shared" si="194"/>
        <v>200.84605373757648</v>
      </c>
      <c r="P762" s="20">
        <f t="shared" si="195"/>
        <v>-21.100382360669826</v>
      </c>
      <c r="Q762" s="20">
        <f t="shared" si="190"/>
        <v>-0.24745624237501032</v>
      </c>
      <c r="R762" s="20">
        <f t="shared" si="191"/>
        <v>-5.3876821766821319</v>
      </c>
      <c r="S762" s="20">
        <f t="shared" si="196"/>
        <v>62.109615359204227</v>
      </c>
      <c r="T762" s="1">
        <f t="shared" si="197"/>
        <v>0</v>
      </c>
    </row>
    <row r="763" spans="1:20" x14ac:dyDescent="0.25">
      <c r="A763" s="20">
        <f t="shared" si="192"/>
        <v>7.5799999999998828</v>
      </c>
      <c r="C763" s="20">
        <f t="shared" si="198"/>
        <v>26.95693936298111</v>
      </c>
      <c r="D763" s="20">
        <f t="shared" si="185"/>
        <v>0.15609106864819133</v>
      </c>
      <c r="E763" s="20">
        <f t="shared" si="186"/>
        <v>3.3984556640146164</v>
      </c>
      <c r="F763" s="20">
        <f t="shared" si="187"/>
        <v>0.13111649766448072</v>
      </c>
      <c r="G763" s="20">
        <f t="shared" si="188"/>
        <v>2.8547027577722779</v>
      </c>
      <c r="I763" s="20">
        <f t="shared" si="199"/>
        <v>-0.90228076698568371</v>
      </c>
      <c r="K763" s="20">
        <f t="shared" si="193"/>
        <v>16.708497785909273</v>
      </c>
      <c r="L763" s="20">
        <f t="shared" si="200"/>
        <v>6.1440617404327352E-3</v>
      </c>
      <c r="M763" s="20">
        <f t="shared" si="189"/>
        <v>0.13377012280498007</v>
      </c>
      <c r="N763" s="1">
        <f t="shared" si="194"/>
        <v>201.01313231437331</v>
      </c>
      <c r="P763" s="20">
        <f t="shared" si="195"/>
        <v>-21.154259182436647</v>
      </c>
      <c r="Q763" s="20">
        <f t="shared" si="190"/>
        <v>-0.24681312681381548</v>
      </c>
      <c r="R763" s="20">
        <f t="shared" si="191"/>
        <v>-5.3736800960987479</v>
      </c>
      <c r="S763" s="20">
        <f t="shared" si="196"/>
        <v>61.898342151488698</v>
      </c>
      <c r="T763" s="1">
        <f t="shared" si="197"/>
        <v>0</v>
      </c>
    </row>
    <row r="764" spans="1:20" x14ac:dyDescent="0.25">
      <c r="A764" s="20">
        <f t="shared" si="192"/>
        <v>7.5899999999998826</v>
      </c>
      <c r="C764" s="20">
        <f t="shared" si="198"/>
        <v>26.999957326614499</v>
      </c>
      <c r="D764" s="20">
        <f t="shared" si="185"/>
        <v>0.15658964732651051</v>
      </c>
      <c r="E764" s="20">
        <f t="shared" si="186"/>
        <v>3.4093108496954172</v>
      </c>
      <c r="F764" s="20">
        <f t="shared" si="187"/>
        <v>0.13153530375426883</v>
      </c>
      <c r="G764" s="20">
        <f t="shared" si="188"/>
        <v>2.8638211137441507</v>
      </c>
      <c r="I764" s="20">
        <f t="shared" si="199"/>
        <v>-0.90347549092683077</v>
      </c>
      <c r="K764" s="20">
        <f t="shared" si="193"/>
        <v>16.709835487137322</v>
      </c>
      <c r="L764" s="20">
        <f t="shared" si="200"/>
        <v>6.4078970861978085E-3</v>
      </c>
      <c r="M764" s="20">
        <f t="shared" si="189"/>
        <v>0.13951441511425666</v>
      </c>
      <c r="N764" s="1">
        <f t="shared" si="194"/>
        <v>201.18022398073856</v>
      </c>
      <c r="P764" s="20">
        <f t="shared" si="195"/>
        <v>-21.207995983397634</v>
      </c>
      <c r="Q764" s="20">
        <f t="shared" si="190"/>
        <v>-0.24616979553272966</v>
      </c>
      <c r="R764" s="20">
        <f t="shared" si="191"/>
        <v>-5.3596733188053491</v>
      </c>
      <c r="S764" s="20">
        <f t="shared" si="196"/>
        <v>61.686530875659528</v>
      </c>
      <c r="T764" s="1">
        <f t="shared" si="197"/>
        <v>0</v>
      </c>
    </row>
    <row r="765" spans="1:20" x14ac:dyDescent="0.25">
      <c r="A765" s="20">
        <f t="shared" si="192"/>
        <v>7.5999999999998824</v>
      </c>
      <c r="C765" s="20">
        <f t="shared" si="198"/>
        <v>27.042939079509893</v>
      </c>
      <c r="D765" s="20">
        <f t="shared" si="185"/>
        <v>0.15708860031745822</v>
      </c>
      <c r="E765" s="20">
        <f t="shared" si="186"/>
        <v>3.420174185008888</v>
      </c>
      <c r="F765" s="20">
        <f t="shared" si="187"/>
        <v>0.1319544242666649</v>
      </c>
      <c r="G765" s="20">
        <f t="shared" si="188"/>
        <v>2.8729463154074657</v>
      </c>
      <c r="I765" s="20">
        <f t="shared" si="199"/>
        <v>-0.90466154154484746</v>
      </c>
      <c r="K765" s="20">
        <f t="shared" si="193"/>
        <v>16.711230631288466</v>
      </c>
      <c r="L765" s="20">
        <f t="shared" si="200"/>
        <v>6.6715158410700082E-3</v>
      </c>
      <c r="M765" s="20">
        <f t="shared" si="189"/>
        <v>0.14525399174983689</v>
      </c>
      <c r="N765" s="1">
        <f t="shared" si="194"/>
        <v>201.3473293113307</v>
      </c>
      <c r="P765" s="20">
        <f t="shared" si="195"/>
        <v>-21.261592716585689</v>
      </c>
      <c r="Q765" s="20">
        <f t="shared" si="190"/>
        <v>-0.24552625830071703</v>
      </c>
      <c r="R765" s="20">
        <f t="shared" si="191"/>
        <v>-5.3456620574943834</v>
      </c>
      <c r="S765" s="20">
        <f t="shared" si="196"/>
        <v>61.474182932159607</v>
      </c>
      <c r="T765" s="1">
        <f t="shared" si="197"/>
        <v>0</v>
      </c>
    </row>
    <row r="766" spans="1:20" x14ac:dyDescent="0.25">
      <c r="A766" s="20">
        <f t="shared" si="192"/>
        <v>7.6099999999998822</v>
      </c>
      <c r="C766" s="20">
        <f t="shared" si="198"/>
        <v>27.085883907059468</v>
      </c>
      <c r="D766" s="20">
        <f t="shared" si="185"/>
        <v>0.15758791729983754</v>
      </c>
      <c r="E766" s="20">
        <f t="shared" si="186"/>
        <v>3.4310454452392238</v>
      </c>
      <c r="F766" s="20">
        <f t="shared" si="187"/>
        <v>0.13237385053186354</v>
      </c>
      <c r="G766" s="20">
        <f t="shared" si="188"/>
        <v>2.8820781740009482</v>
      </c>
      <c r="I766" s="20">
        <f t="shared" si="199"/>
        <v>-0.9058389669425706</v>
      </c>
      <c r="K766" s="20">
        <f t="shared" si="193"/>
        <v>16.712683171205963</v>
      </c>
      <c r="L766" s="20">
        <f t="shared" si="200"/>
        <v>6.9349120094711059E-3</v>
      </c>
      <c r="M766" s="20">
        <f t="shared" si="189"/>
        <v>0.15098872217441991</v>
      </c>
      <c r="N766" s="1">
        <f t="shared" si="194"/>
        <v>201.51444888034317</v>
      </c>
      <c r="P766" s="20">
        <f t="shared" si="195"/>
        <v>-21.315049337160634</v>
      </c>
      <c r="Q766" s="20">
        <f t="shared" si="190"/>
        <v>-0.24488252485693854</v>
      </c>
      <c r="R766" s="20">
        <f t="shared" si="191"/>
        <v>-5.3316465242094173</v>
      </c>
      <c r="S766" s="20">
        <f t="shared" si="196"/>
        <v>61.261299721890879</v>
      </c>
      <c r="T766" s="1">
        <f t="shared" si="197"/>
        <v>0</v>
      </c>
    </row>
    <row r="767" spans="1:20" x14ac:dyDescent="0.25">
      <c r="A767" s="20">
        <f t="shared" si="192"/>
        <v>7.619999999999882</v>
      </c>
      <c r="C767" s="20">
        <f t="shared" si="198"/>
        <v>27.128791102068799</v>
      </c>
      <c r="D767" s="20">
        <f t="shared" si="185"/>
        <v>0.15808758798785086</v>
      </c>
      <c r="E767" s="20">
        <f t="shared" si="186"/>
        <v>3.4419244064413426</v>
      </c>
      <c r="F767" s="20">
        <f t="shared" si="187"/>
        <v>0.13279357390979471</v>
      </c>
      <c r="G767" s="20">
        <f t="shared" si="188"/>
        <v>2.8912165014107276</v>
      </c>
      <c r="I767" s="20">
        <f t="shared" si="199"/>
        <v>-0.9070078149960954</v>
      </c>
      <c r="K767" s="20">
        <f t="shared" si="193"/>
        <v>16.714193058427707</v>
      </c>
      <c r="L767" s="20">
        <f t="shared" si="200"/>
        <v>7.1980795977262951E-3</v>
      </c>
      <c r="M767" s="20">
        <f t="shared" si="189"/>
        <v>0.15671847589214663</v>
      </c>
      <c r="N767" s="1">
        <f t="shared" si="194"/>
        <v>201.68158326149134</v>
      </c>
      <c r="P767" s="20">
        <f t="shared" si="195"/>
        <v>-21.368365802402728</v>
      </c>
      <c r="Q767" s="20">
        <f t="shared" si="190"/>
        <v>-0.24423860491054736</v>
      </c>
      <c r="R767" s="20">
        <f t="shared" si="191"/>
        <v>-5.3176269303406789</v>
      </c>
      <c r="S767" s="20">
        <f t="shared" si="196"/>
        <v>61.047882646193059</v>
      </c>
      <c r="T767" s="1">
        <f t="shared" si="197"/>
        <v>0</v>
      </c>
    </row>
    <row r="768" spans="1:20" x14ac:dyDescent="0.25">
      <c r="A768" s="20">
        <f t="shared" si="192"/>
        <v>7.6299999999998818</v>
      </c>
      <c r="C768" s="20">
        <f t="shared" si="198"/>
        <v>27.171659964705405</v>
      </c>
      <c r="D768" s="20">
        <f t="shared" si="185"/>
        <v>0.15858760213129613</v>
      </c>
      <c r="E768" s="20">
        <f t="shared" si="186"/>
        <v>3.4528108454451587</v>
      </c>
      <c r="F768" s="20">
        <f t="shared" si="187"/>
        <v>0.13321358579028875</v>
      </c>
      <c r="G768" s="20">
        <f t="shared" si="188"/>
        <v>2.9003611101739333</v>
      </c>
      <c r="I768" s="20">
        <f t="shared" si="199"/>
        <v>-0.90816813335459667</v>
      </c>
      <c r="K768" s="20">
        <f t="shared" si="193"/>
        <v>16.715760243186629</v>
      </c>
      <c r="L768" s="20">
        <f t="shared" si="200"/>
        <v>7.4610126147691969E-3</v>
      </c>
      <c r="M768" s="20">
        <f t="shared" si="189"/>
        <v>0.16244312246394943</v>
      </c>
      <c r="N768" s="1">
        <f t="shared" si="194"/>
        <v>201.8487330279994</v>
      </c>
      <c r="P768" s="20">
        <f t="shared" si="195"/>
        <v>-21.421542071706135</v>
      </c>
      <c r="Q768" s="20">
        <f t="shared" si="190"/>
        <v>-0.24359450814048811</v>
      </c>
      <c r="R768" s="20">
        <f t="shared" si="191"/>
        <v>-5.3036034866206858</v>
      </c>
      <c r="S768" s="20">
        <f t="shared" si="196"/>
        <v>60.833933106822521</v>
      </c>
      <c r="T768" s="1">
        <f t="shared" si="197"/>
        <v>0</v>
      </c>
    </row>
    <row r="769" spans="1:20" x14ac:dyDescent="0.25">
      <c r="A769" s="20">
        <f t="shared" si="192"/>
        <v>7.6399999999998816</v>
      </c>
      <c r="C769" s="20">
        <f t="shared" si="198"/>
        <v>27.21448980244746</v>
      </c>
      <c r="D769" s="20">
        <f t="shared" si="185"/>
        <v>0.15908794951576016</v>
      </c>
      <c r="E769" s="20">
        <f t="shared" si="186"/>
        <v>3.4637045398597901</v>
      </c>
      <c r="F769" s="20">
        <f t="shared" si="187"/>
        <v>0.13363387759323855</v>
      </c>
      <c r="G769" s="20">
        <f t="shared" si="188"/>
        <v>2.909511813482224</v>
      </c>
      <c r="I769" s="20">
        <f t="shared" si="199"/>
        <v>-0.90931996944019111</v>
      </c>
      <c r="K769" s="20">
        <f t="shared" si="193"/>
        <v>16.717384674411267</v>
      </c>
      <c r="L769" s="20">
        <f t="shared" si="200"/>
        <v>7.7237050728374418E-3</v>
      </c>
      <c r="M769" s="20">
        <f t="shared" si="189"/>
        <v>0.16816253152269633</v>
      </c>
      <c r="N769" s="1">
        <f t="shared" si="194"/>
        <v>202.01589875258739</v>
      </c>
      <c r="P769" s="20">
        <f t="shared" si="195"/>
        <v>-21.474578106572341</v>
      </c>
      <c r="Q769" s="20">
        <f t="shared" si="190"/>
        <v>-0.24295024419530009</v>
      </c>
      <c r="R769" s="20">
        <f t="shared" si="191"/>
        <v>-5.289576403119967</v>
      </c>
      <c r="S769" s="20">
        <f t="shared" si="196"/>
        <v>60.619452505931129</v>
      </c>
      <c r="T769" s="1">
        <f t="shared" si="197"/>
        <v>0</v>
      </c>
    </row>
    <row r="770" spans="1:20" x14ac:dyDescent="0.25">
      <c r="A770" s="20">
        <f t="shared" si="192"/>
        <v>7.6499999999998813</v>
      </c>
      <c r="C770" s="20">
        <f t="shared" si="198"/>
        <v>27.257279930032791</v>
      </c>
      <c r="D770" s="20">
        <f t="shared" si="185"/>
        <v>0.15958861996280943</v>
      </c>
      <c r="E770" s="20">
        <f t="shared" si="186"/>
        <v>3.4746052680777146</v>
      </c>
      <c r="F770" s="20">
        <f t="shared" si="187"/>
        <v>0.13405444076875994</v>
      </c>
      <c r="G770" s="20">
        <f t="shared" si="188"/>
        <v>2.9186684251852806</v>
      </c>
      <c r="I770" s="20">
        <f t="shared" si="199"/>
        <v>-0.91046337044783943</v>
      </c>
      <c r="K770" s="20">
        <f t="shared" si="193"/>
        <v>16.719066299726496</v>
      </c>
      <c r="L770" s="20">
        <f t="shared" si="200"/>
        <v>7.9861509881599402E-3</v>
      </c>
      <c r="M770" s="20">
        <f t="shared" si="189"/>
        <v>0.1738765727881546</v>
      </c>
      <c r="N770" s="1">
        <f t="shared" si="194"/>
        <v>202.18308100745807</v>
      </c>
      <c r="P770" s="20">
        <f t="shared" si="195"/>
        <v>-21.52747387060354</v>
      </c>
      <c r="Q770" s="20">
        <f t="shared" si="190"/>
        <v>-0.24230582269292431</v>
      </c>
      <c r="R770" s="20">
        <f t="shared" si="191"/>
        <v>-5.2755458892428546</v>
      </c>
      <c r="S770" s="20">
        <f t="shared" si="196"/>
        <v>60.404442246045249</v>
      </c>
      <c r="T770" s="1">
        <f t="shared" si="197"/>
        <v>0</v>
      </c>
    </row>
    <row r="771" spans="1:20" x14ac:dyDescent="0.25">
      <c r="A771" s="20">
        <f t="shared" si="192"/>
        <v>7.6599999999998811</v>
      </c>
      <c r="C771" s="20">
        <f t="shared" si="198"/>
        <v>27.300029669408104</v>
      </c>
      <c r="D771" s="20">
        <f t="shared" si="185"/>
        <v>0.16008960333017849</v>
      </c>
      <c r="E771" s="20">
        <f t="shared" si="186"/>
        <v>3.4855128092788701</v>
      </c>
      <c r="F771" s="20">
        <f t="shared" si="187"/>
        <v>0.13447526679734995</v>
      </c>
      <c r="G771" s="20">
        <f t="shared" si="188"/>
        <v>2.9278307597942512</v>
      </c>
      <c r="I771" s="20">
        <f t="shared" si="199"/>
        <v>-0.91159838334528687</v>
      </c>
      <c r="K771" s="20">
        <f t="shared" si="193"/>
        <v>16.720805065454378</v>
      </c>
      <c r="L771" s="20">
        <f t="shared" si="200"/>
        <v>8.2483443816351726E-3</v>
      </c>
      <c r="M771" s="20">
        <f t="shared" si="189"/>
        <v>0.17958511608175862</v>
      </c>
      <c r="N771" s="1">
        <f t="shared" si="194"/>
        <v>202.35028036428398</v>
      </c>
      <c r="P771" s="20">
        <f t="shared" si="195"/>
        <v>-21.580229329495968</v>
      </c>
      <c r="Q771" s="20">
        <f t="shared" si="190"/>
        <v>-0.24166125322051366</v>
      </c>
      <c r="R771" s="20">
        <f t="shared" si="191"/>
        <v>-5.2615121537233547</v>
      </c>
      <c r="S771" s="20">
        <f t="shared" si="196"/>
        <v>60.18890373004475</v>
      </c>
      <c r="T771" s="1">
        <f t="shared" si="197"/>
        <v>0</v>
      </c>
    </row>
    <row r="772" spans="1:20" x14ac:dyDescent="0.25">
      <c r="A772" s="20">
        <f t="shared" si="192"/>
        <v>7.6699999999998809</v>
      </c>
      <c r="C772" s="20">
        <f t="shared" si="198"/>
        <v>27.342738349678463</v>
      </c>
      <c r="D772" s="20">
        <f t="shared" si="185"/>
        <v>0.16059088951195574</v>
      </c>
      <c r="E772" s="20">
        <f t="shared" si="186"/>
        <v>3.4964269434346993</v>
      </c>
      <c r="F772" s="20">
        <f t="shared" si="187"/>
        <v>0.13489634719004281</v>
      </c>
      <c r="G772" s="20">
        <f t="shared" si="188"/>
        <v>2.9369986324851474</v>
      </c>
      <c r="I772" s="20">
        <f t="shared" si="199"/>
        <v>-0.91272505487304179</v>
      </c>
      <c r="K772" s="20">
        <f t="shared" si="193"/>
        <v>16.722600916615196</v>
      </c>
      <c r="L772" s="20">
        <f t="shared" si="200"/>
        <v>8.5102792795009596E-3</v>
      </c>
      <c r="M772" s="20">
        <f t="shared" si="189"/>
        <v>0.18528803134119223</v>
      </c>
      <c r="N772" s="1">
        <f t="shared" si="194"/>
        <v>202.51749739419432</v>
      </c>
      <c r="P772" s="20">
        <f t="shared" si="195"/>
        <v>-21.632844451033201</v>
      </c>
      <c r="Q772" s="20">
        <f t="shared" si="190"/>
        <v>-0.24101654533424688</v>
      </c>
      <c r="R772" s="20">
        <f t="shared" si="191"/>
        <v>-5.2474754046210945</v>
      </c>
      <c r="S772" s="20">
        <f t="shared" si="196"/>
        <v>59.972838361142109</v>
      </c>
      <c r="T772" s="1">
        <f t="shared" si="197"/>
        <v>0</v>
      </c>
    </row>
    <row r="773" spans="1:20" x14ac:dyDescent="0.25">
      <c r="A773" s="20">
        <f t="shared" si="192"/>
        <v>7.6799999999998807</v>
      </c>
      <c r="C773" s="20">
        <f t="shared" si="198"/>
        <v>27.385405307057002</v>
      </c>
      <c r="D773" s="20">
        <f t="shared" ref="D773:D836" si="201">0.5*$W$5*$W$10*$W$9*C773^2</f>
        <v>0.16109246843876643</v>
      </c>
      <c r="E773" s="20">
        <f t="shared" ref="E773:E836" si="202">D773/$W$4</f>
        <v>3.5073474513121368</v>
      </c>
      <c r="F773" s="20">
        <f t="shared" ref="F773:F836" si="203">0.5*$W$6*$W$10*$W$9*C773^2</f>
        <v>0.1353176734885638</v>
      </c>
      <c r="G773" s="20">
        <f t="shared" ref="G773:G836" si="204">F773/$W$4</f>
        <v>2.9461718591021948</v>
      </c>
      <c r="I773" s="20">
        <f t="shared" si="199"/>
        <v>-0.91384343154438996</v>
      </c>
      <c r="K773" s="20">
        <f t="shared" si="193"/>
        <v>16.724453796928607</v>
      </c>
      <c r="L773" s="20">
        <f t="shared" si="200"/>
        <v>8.771949713995475E-3</v>
      </c>
      <c r="M773" s="20">
        <f t="shared" ref="M773:M836" si="205">L773/$W$4</f>
        <v>0.19098518863478064</v>
      </c>
      <c r="N773" s="1">
        <f t="shared" si="194"/>
        <v>202.68473266776203</v>
      </c>
      <c r="P773" s="20">
        <f t="shared" si="195"/>
        <v>-21.685319205079413</v>
      </c>
      <c r="Q773" s="20">
        <f t="shared" ref="Q773:Q836" si="206">-(D773*SIN(I773))+(F773*COS(I773))-($W$4*9.81)</f>
        <v>-0.24037170855914614</v>
      </c>
      <c r="R773" s="20">
        <f t="shared" ref="R773:R836" si="207">Q773/$W$4</f>
        <v>-5.2334358493173552</v>
      </c>
      <c r="S773" s="20">
        <f t="shared" si="196"/>
        <v>59.756247542861544</v>
      </c>
      <c r="T773" s="1">
        <f t="shared" si="197"/>
        <v>0</v>
      </c>
    </row>
    <row r="774" spans="1:20" x14ac:dyDescent="0.25">
      <c r="A774" s="20">
        <f t="shared" ref="A774:A837" si="208">A773+$W$18</f>
        <v>7.6899999999998805</v>
      </c>
      <c r="C774" s="20">
        <f t="shared" si="198"/>
        <v>27.428029884814883</v>
      </c>
      <c r="D774" s="20">
        <f t="shared" si="201"/>
        <v>0.16159433007795321</v>
      </c>
      <c r="E774" s="20">
        <f t="shared" si="202"/>
        <v>3.5182741144775358</v>
      </c>
      <c r="F774" s="20">
        <f t="shared" si="203"/>
        <v>0.13573923726548071</v>
      </c>
      <c r="G774" s="20">
        <f t="shared" si="204"/>
        <v>2.9553502561611302</v>
      </c>
      <c r="I774" s="20">
        <f t="shared" si="199"/>
        <v>-0.91495355964544511</v>
      </c>
      <c r="K774" s="20">
        <f t="shared" ref="K774:K837" si="209">K773+(M773*$W$18)</f>
        <v>16.726363648814957</v>
      </c>
      <c r="L774" s="20">
        <f t="shared" si="200"/>
        <v>9.0333497240095983E-3</v>
      </c>
      <c r="M774" s="20">
        <f t="shared" si="205"/>
        <v>0.1966764581756934</v>
      </c>
      <c r="N774" s="1">
        <f t="shared" ref="N774:N837" si="210">N773+(K773*$W$18)+(0.5*M773*$W$18^2)</f>
        <v>202.85198675499075</v>
      </c>
      <c r="P774" s="20">
        <f t="shared" ref="P774:P837" si="211">P773+(R773*$W$18)</f>
        <v>-21.737653563572586</v>
      </c>
      <c r="Q774" s="20">
        <f t="shared" si="206"/>
        <v>-0.23972675238889804</v>
      </c>
      <c r="R774" s="20">
        <f t="shared" si="207"/>
        <v>-5.2193936945111705</v>
      </c>
      <c r="S774" s="20">
        <f t="shared" ref="S774:S837" si="212">S773+(P773*$W$18)+(0.5*R773*$W$18^2)</f>
        <v>59.539132679018287</v>
      </c>
      <c r="T774" s="1">
        <f t="shared" si="197"/>
        <v>0</v>
      </c>
    </row>
    <row r="775" spans="1:20" x14ac:dyDescent="0.25">
      <c r="A775" s="20">
        <f t="shared" si="208"/>
        <v>7.6999999999998803</v>
      </c>
      <c r="C775" s="20">
        <f t="shared" si="198"/>
        <v>27.470611433231529</v>
      </c>
      <c r="D775" s="20">
        <f t="shared" si="201"/>
        <v>0.16209646443375425</v>
      </c>
      <c r="E775" s="20">
        <f t="shared" si="202"/>
        <v>3.5292067153005497</v>
      </c>
      <c r="F775" s="20">
        <f t="shared" si="203"/>
        <v>0.13616103012435357</v>
      </c>
      <c r="G775" s="20">
        <f t="shared" si="204"/>
        <v>2.9645336408524621</v>
      </c>
      <c r="I775" s="20">
        <f t="shared" si="199"/>
        <v>-0.91605548523523417</v>
      </c>
      <c r="K775" s="20">
        <f t="shared" si="209"/>
        <v>16.728330413396712</v>
      </c>
      <c r="L775" s="20">
        <f t="shared" si="200"/>
        <v>9.2944733557310533E-3</v>
      </c>
      <c r="M775" s="20">
        <f t="shared" si="205"/>
        <v>0.20236171033596895</v>
      </c>
      <c r="N775" s="1">
        <f t="shared" si="210"/>
        <v>203.01926022530179</v>
      </c>
      <c r="P775" s="20">
        <f t="shared" si="211"/>
        <v>-21.789847500517698</v>
      </c>
      <c r="Q775" s="20">
        <f t="shared" si="206"/>
        <v>-0.2390816862856778</v>
      </c>
      <c r="R775" s="20">
        <f t="shared" si="207"/>
        <v>-5.2053491462154975</v>
      </c>
      <c r="S775" s="20">
        <f t="shared" si="212"/>
        <v>59.321495173697834</v>
      </c>
      <c r="T775" s="1">
        <f t="shared" ref="T775:T838" si="213">IF(AND(S774&gt;0,S775&lt;0),(-1*S774*(N775-N774)/(S775-S774)+N774),0)</f>
        <v>0</v>
      </c>
    </row>
    <row r="776" spans="1:20" x14ac:dyDescent="0.25">
      <c r="A776" s="20">
        <f t="shared" si="208"/>
        <v>7.7099999999998801</v>
      </c>
      <c r="C776" s="20">
        <f t="shared" si="198"/>
        <v>27.513149309545071</v>
      </c>
      <c r="D776" s="20">
        <f t="shared" si="201"/>
        <v>0.16259886154747838</v>
      </c>
      <c r="E776" s="20">
        <f t="shared" si="202"/>
        <v>3.5401450369579441</v>
      </c>
      <c r="F776" s="20">
        <f t="shared" si="203"/>
        <v>0.13658304369988183</v>
      </c>
      <c r="G776" s="20">
        <f t="shared" si="204"/>
        <v>2.9737218310446734</v>
      </c>
      <c r="I776" s="20">
        <f t="shared" si="199"/>
        <v>-0.91714925414581461</v>
      </c>
      <c r="K776" s="20">
        <f t="shared" si="209"/>
        <v>16.73035403050007</v>
      </c>
      <c r="L776" s="20">
        <f t="shared" si="200"/>
        <v>9.5553146632796626E-3</v>
      </c>
      <c r="M776" s="20">
        <f t="shared" si="205"/>
        <v>0.20804081566034538</v>
      </c>
      <c r="N776" s="1">
        <f t="shared" si="210"/>
        <v>203.18655364752129</v>
      </c>
      <c r="P776" s="20">
        <f t="shared" si="211"/>
        <v>-21.841900991979852</v>
      </c>
      <c r="Q776" s="20">
        <f t="shared" si="206"/>
        <v>-0.23843651967997725</v>
      </c>
      <c r="R776" s="20">
        <f t="shared" si="207"/>
        <v>-5.1913024097534786</v>
      </c>
      <c r="S776" s="20">
        <f t="shared" si="212"/>
        <v>59.103336431235341</v>
      </c>
      <c r="T776" s="1">
        <f t="shared" si="213"/>
        <v>0</v>
      </c>
    </row>
    <row r="777" spans="1:20" x14ac:dyDescent="0.25">
      <c r="A777" s="20">
        <f t="shared" si="208"/>
        <v>7.7199999999998798</v>
      </c>
      <c r="C777" s="20">
        <f t="shared" si="198"/>
        <v>27.555642877903075</v>
      </c>
      <c r="D777" s="20">
        <f t="shared" si="201"/>
        <v>0.16310151149767799</v>
      </c>
      <c r="E777" s="20">
        <f t="shared" si="202"/>
        <v>3.5510888634373612</v>
      </c>
      <c r="F777" s="20">
        <f t="shared" si="203"/>
        <v>0.13700526965804952</v>
      </c>
      <c r="G777" s="20">
        <f t="shared" si="204"/>
        <v>2.9829146452873836</v>
      </c>
      <c r="I777" s="20">
        <f t="shared" si="199"/>
        <v>-0.91823491198242635</v>
      </c>
      <c r="K777" s="20">
        <f t="shared" si="209"/>
        <v>16.732434438656675</v>
      </c>
      <c r="L777" s="20">
        <f t="shared" si="200"/>
        <v>9.8158677093344859E-3</v>
      </c>
      <c r="M777" s="20">
        <f t="shared" si="205"/>
        <v>0.21371364487991479</v>
      </c>
      <c r="N777" s="1">
        <f t="shared" si="210"/>
        <v>203.35386758986706</v>
      </c>
      <c r="P777" s="20">
        <f t="shared" si="211"/>
        <v>-21.893814016077386</v>
      </c>
      <c r="Q777" s="20">
        <f t="shared" si="206"/>
        <v>-0.23779126197043587</v>
      </c>
      <c r="R777" s="20">
        <f t="shared" si="207"/>
        <v>-5.177253689754755</v>
      </c>
      <c r="S777" s="20">
        <f t="shared" si="212"/>
        <v>58.884657856195055</v>
      </c>
      <c r="T777" s="1">
        <f t="shared" si="213"/>
        <v>0</v>
      </c>
    </row>
    <row r="778" spans="1:20" x14ac:dyDescent="0.25">
      <c r="A778" s="20">
        <f t="shared" si="208"/>
        <v>7.7299999999998796</v>
      </c>
      <c r="C778" s="20">
        <f t="shared" si="198"/>
        <v>27.598091509313509</v>
      </c>
      <c r="D778" s="20">
        <f t="shared" si="201"/>
        <v>0.16360440440031915</v>
      </c>
      <c r="E778" s="20">
        <f t="shared" si="202"/>
        <v>3.5620379795410222</v>
      </c>
      <c r="F778" s="20">
        <f t="shared" si="203"/>
        <v>0.13742769969626809</v>
      </c>
      <c r="G778" s="20">
        <f t="shared" si="204"/>
        <v>2.9921119028144587</v>
      </c>
      <c r="I778" s="20">
        <f t="shared" si="199"/>
        <v>-0.91931250412367349</v>
      </c>
      <c r="K778" s="20">
        <f t="shared" si="209"/>
        <v>16.734571575105473</v>
      </c>
      <c r="L778" s="20">
        <f t="shared" si="200"/>
        <v>1.0076126565752297E-2</v>
      </c>
      <c r="M778" s="20">
        <f t="shared" si="205"/>
        <v>0.21938006892558887</v>
      </c>
      <c r="N778" s="1">
        <f t="shared" si="210"/>
        <v>203.52120261993588</v>
      </c>
      <c r="P778" s="20">
        <f t="shared" si="211"/>
        <v>-21.945586552974934</v>
      </c>
      <c r="Q778" s="20">
        <f t="shared" si="206"/>
        <v>-0.23714592252367495</v>
      </c>
      <c r="R778" s="20">
        <f t="shared" si="207"/>
        <v>-5.1632031901518607</v>
      </c>
      <c r="S778" s="20">
        <f t="shared" si="212"/>
        <v>58.665460853349792</v>
      </c>
      <c r="T778" s="1">
        <f t="shared" si="213"/>
        <v>0</v>
      </c>
    </row>
    <row r="779" spans="1:20" x14ac:dyDescent="0.25">
      <c r="A779" s="20">
        <f t="shared" si="208"/>
        <v>7.7399999999998794</v>
      </c>
      <c r="C779" s="20">
        <f t="shared" si="198"/>
        <v>27.640494581595952</v>
      </c>
      <c r="D779" s="20">
        <f t="shared" si="201"/>
        <v>0.16410753040894907</v>
      </c>
      <c r="E779" s="20">
        <f t="shared" si="202"/>
        <v>3.5729921708893766</v>
      </c>
      <c r="F779" s="20">
        <f t="shared" si="203"/>
        <v>0.13785032554351723</v>
      </c>
      <c r="G779" s="20">
        <f t="shared" si="204"/>
        <v>3.0013134235470766</v>
      </c>
      <c r="I779" s="20">
        <f t="shared" si="199"/>
        <v>-0.92038207572173758</v>
      </c>
      <c r="K779" s="20">
        <f t="shared" si="209"/>
        <v>16.736765375794729</v>
      </c>
      <c r="L779" s="20">
        <f t="shared" si="200"/>
        <v>1.0336085314177873E-2</v>
      </c>
      <c r="M779" s="20">
        <f t="shared" si="205"/>
        <v>0.22503995894138631</v>
      </c>
      <c r="N779" s="1">
        <f t="shared" si="210"/>
        <v>203.68855930469039</v>
      </c>
      <c r="P779" s="20">
        <f t="shared" si="211"/>
        <v>-21.997218584876453</v>
      </c>
      <c r="Q779" s="20">
        <f t="shared" si="206"/>
        <v>-0.23650051067413577</v>
      </c>
      <c r="R779" s="20">
        <f t="shared" si="207"/>
        <v>-5.149151114176699</v>
      </c>
      <c r="S779" s="20">
        <f t="shared" si="212"/>
        <v>58.445746827660528</v>
      </c>
      <c r="T779" s="1">
        <f t="shared" si="213"/>
        <v>0</v>
      </c>
    </row>
    <row r="780" spans="1:20" x14ac:dyDescent="0.25">
      <c r="A780" s="20">
        <f t="shared" si="208"/>
        <v>7.7499999999998792</v>
      </c>
      <c r="C780" s="20">
        <f t="shared" si="198"/>
        <v>27.682851479333102</v>
      </c>
      <c r="D780" s="20">
        <f t="shared" si="201"/>
        <v>0.16461087971486138</v>
      </c>
      <c r="E780" s="20">
        <f t="shared" si="202"/>
        <v>3.5839512239246982</v>
      </c>
      <c r="F780" s="20">
        <f t="shared" si="203"/>
        <v>0.13827313896048354</v>
      </c>
      <c r="G780" s="20">
        <f t="shared" si="204"/>
        <v>3.0105190280967462</v>
      </c>
      <c r="I780" s="20">
        <f t="shared" si="199"/>
        <v>-0.92144367170262031</v>
      </c>
      <c r="K780" s="20">
        <f t="shared" si="209"/>
        <v>16.739015775384143</v>
      </c>
      <c r="L780" s="20">
        <f t="shared" si="200"/>
        <v>1.0595738046645889E-2</v>
      </c>
      <c r="M780" s="20">
        <f t="shared" si="205"/>
        <v>0.23069318629753732</v>
      </c>
      <c r="N780" s="1">
        <f t="shared" si="210"/>
        <v>203.85593821044628</v>
      </c>
      <c r="P780" s="20">
        <f t="shared" si="211"/>
        <v>-22.048710096018219</v>
      </c>
      <c r="Q780" s="20">
        <f t="shared" si="206"/>
        <v>-0.2358550357239198</v>
      </c>
      <c r="R780" s="20">
        <f t="shared" si="207"/>
        <v>-5.1350976643570609</v>
      </c>
      <c r="S780" s="20">
        <f t="shared" si="212"/>
        <v>58.225517184256049</v>
      </c>
      <c r="T780" s="1">
        <f t="shared" si="213"/>
        <v>0</v>
      </c>
    </row>
    <row r="781" spans="1:20" x14ac:dyDescent="0.25">
      <c r="A781" s="20">
        <f t="shared" si="208"/>
        <v>7.759999999999879</v>
      </c>
      <c r="C781" s="20">
        <f t="shared" si="198"/>
        <v>27.725161593822477</v>
      </c>
      <c r="D781" s="20">
        <f t="shared" si="201"/>
        <v>0.16511444254725804</v>
      </c>
      <c r="E781" s="20">
        <f t="shared" si="202"/>
        <v>3.5949149259146105</v>
      </c>
      <c r="F781" s="20">
        <f t="shared" si="203"/>
        <v>0.13869613173969675</v>
      </c>
      <c r="G781" s="20">
        <f t="shared" si="204"/>
        <v>3.0197285377682723</v>
      </c>
      <c r="I781" s="20">
        <f t="shared" si="199"/>
        <v>-0.92249733676641577</v>
      </c>
      <c r="K781" s="20">
        <f t="shared" si="209"/>
        <v>16.741322707247118</v>
      </c>
      <c r="L781" s="20">
        <f t="shared" si="200"/>
        <v>1.0855078866174747E-2</v>
      </c>
      <c r="M781" s="20">
        <f t="shared" si="205"/>
        <v>0.23633962260341274</v>
      </c>
      <c r="N781" s="1">
        <f t="shared" si="210"/>
        <v>204.02333990285942</v>
      </c>
      <c r="P781" s="20">
        <f t="shared" si="211"/>
        <v>-22.100061072661788</v>
      </c>
      <c r="Q781" s="20">
        <f t="shared" si="206"/>
        <v>-0.23520950694263343</v>
      </c>
      <c r="R781" s="20">
        <f t="shared" si="207"/>
        <v>-5.1210430425132474</v>
      </c>
      <c r="S781" s="20">
        <f t="shared" si="212"/>
        <v>58.004773328412647</v>
      </c>
      <c r="T781" s="1">
        <f t="shared" si="213"/>
        <v>0</v>
      </c>
    </row>
    <row r="782" spans="1:20" x14ac:dyDescent="0.25">
      <c r="A782" s="20">
        <f t="shared" si="208"/>
        <v>7.7699999999998788</v>
      </c>
      <c r="C782" s="20">
        <f t="shared" si="198"/>
        <v>27.767424323028425</v>
      </c>
      <c r="D782" s="20">
        <f t="shared" si="201"/>
        <v>0.16561820917340947</v>
      </c>
      <c r="E782" s="20">
        <f t="shared" si="202"/>
        <v>3.6058830649555733</v>
      </c>
      <c r="F782" s="20">
        <f t="shared" si="203"/>
        <v>0.13911929570566395</v>
      </c>
      <c r="G782" s="20">
        <f t="shared" si="204"/>
        <v>3.0289417745626812</v>
      </c>
      <c r="I782" s="20">
        <f t="shared" si="199"/>
        <v>-0.92354311538760903</v>
      </c>
      <c r="K782" s="20">
        <f t="shared" si="209"/>
        <v>16.743686103473152</v>
      </c>
      <c r="L782" s="20">
        <f t="shared" si="200"/>
        <v>1.111410188735186E-2</v>
      </c>
      <c r="M782" s="20">
        <f t="shared" si="205"/>
        <v>0.24197913972026694</v>
      </c>
      <c r="N782" s="1">
        <f t="shared" si="210"/>
        <v>204.19076494691302</v>
      </c>
      <c r="P782" s="20">
        <f t="shared" si="211"/>
        <v>-22.151271503086921</v>
      </c>
      <c r="Q782" s="20">
        <f t="shared" si="206"/>
        <v>-0.23456393356723454</v>
      </c>
      <c r="R782" s="20">
        <f t="shared" si="207"/>
        <v>-5.1069874497547252</v>
      </c>
      <c r="S782" s="20">
        <f t="shared" si="212"/>
        <v>57.783516665533902</v>
      </c>
      <c r="T782" s="1">
        <f t="shared" si="213"/>
        <v>0</v>
      </c>
    </row>
    <row r="783" spans="1:20" x14ac:dyDescent="0.25">
      <c r="A783" s="20">
        <f t="shared" si="208"/>
        <v>7.7799999999998786</v>
      </c>
      <c r="C783" s="20">
        <f t="shared" si="198"/>
        <v>27.80963907153437</v>
      </c>
      <c r="D783" s="20">
        <f t="shared" si="201"/>
        <v>0.16612216989881154</v>
      </c>
      <c r="E783" s="20">
        <f t="shared" si="202"/>
        <v>3.6168554299763018</v>
      </c>
      <c r="F783" s="20">
        <f t="shared" si="203"/>
        <v>0.1395426227150017</v>
      </c>
      <c r="G783" s="20">
        <f t="shared" si="204"/>
        <v>3.0381585611800936</v>
      </c>
      <c r="I783" s="20">
        <f t="shared" si="199"/>
        <v>-0.92458105181540418</v>
      </c>
      <c r="K783" s="20">
        <f t="shared" si="209"/>
        <v>16.746105894870354</v>
      </c>
      <c r="L783" s="20">
        <f t="shared" si="200"/>
        <v>1.1372801236911118E-2</v>
      </c>
      <c r="M783" s="20">
        <f t="shared" si="205"/>
        <v>0.24761160977381053</v>
      </c>
      <c r="N783" s="1">
        <f t="shared" si="210"/>
        <v>204.35821390690472</v>
      </c>
      <c r="P783" s="20">
        <f t="shared" si="211"/>
        <v>-22.202341377584467</v>
      </c>
      <c r="Q783" s="20">
        <f t="shared" si="206"/>
        <v>-0.23391832480188318</v>
      </c>
      <c r="R783" s="20">
        <f t="shared" si="207"/>
        <v>-5.0929310864768818</v>
      </c>
      <c r="S783" s="20">
        <f t="shared" si="212"/>
        <v>57.561748601130546</v>
      </c>
      <c r="T783" s="1">
        <f t="shared" si="213"/>
        <v>0</v>
      </c>
    </row>
    <row r="784" spans="1:20" x14ac:dyDescent="0.25">
      <c r="A784" s="20">
        <f t="shared" si="208"/>
        <v>7.7899999999998784</v>
      </c>
      <c r="C784" s="20">
        <f t="shared" si="198"/>
        <v>27.851805250495307</v>
      </c>
      <c r="D784" s="20">
        <f t="shared" si="201"/>
        <v>0.16662631506734024</v>
      </c>
      <c r="E784" s="20">
        <f t="shared" si="202"/>
        <v>3.6278318107411334</v>
      </c>
      <c r="F784" s="20">
        <f t="shared" si="203"/>
        <v>0.13996610465656581</v>
      </c>
      <c r="G784" s="20">
        <f t="shared" si="204"/>
        <v>3.047378721022552</v>
      </c>
      <c r="I784" s="20">
        <f t="shared" si="199"/>
        <v>-0.92561119007407633</v>
      </c>
      <c r="K784" s="20">
        <f t="shared" si="209"/>
        <v>16.748582010968093</v>
      </c>
      <c r="L784" s="20">
        <f t="shared" si="200"/>
        <v>1.1631171054302017E-2</v>
      </c>
      <c r="M784" s="20">
        <f t="shared" si="205"/>
        <v>0.25323690516660174</v>
      </c>
      <c r="N784" s="1">
        <f t="shared" si="210"/>
        <v>204.52568734643393</v>
      </c>
      <c r="P784" s="20">
        <f t="shared" si="211"/>
        <v>-22.253270688449238</v>
      </c>
      <c r="Q784" s="20">
        <f t="shared" si="206"/>
        <v>-0.23327268981779453</v>
      </c>
      <c r="R784" s="20">
        <f t="shared" si="207"/>
        <v>-5.0788741523578169</v>
      </c>
      <c r="S784" s="20">
        <f t="shared" si="212"/>
        <v>57.339470540800377</v>
      </c>
      <c r="T784" s="1">
        <f t="shared" si="213"/>
        <v>0</v>
      </c>
    </row>
    <row r="785" spans="1:20" x14ac:dyDescent="0.25">
      <c r="A785" s="20">
        <f t="shared" si="208"/>
        <v>7.7999999999998781</v>
      </c>
      <c r="C785" s="20">
        <f t="shared" si="198"/>
        <v>27.89392227759058</v>
      </c>
      <c r="D785" s="20">
        <f t="shared" si="201"/>
        <v>0.16713063506140355</v>
      </c>
      <c r="E785" s="20">
        <f t="shared" si="202"/>
        <v>3.6388119978533324</v>
      </c>
      <c r="F785" s="20">
        <f t="shared" si="203"/>
        <v>0.14038973345157899</v>
      </c>
      <c r="G785" s="20">
        <f t="shared" si="204"/>
        <v>3.0566020781967991</v>
      </c>
      <c r="I785" s="20">
        <f t="shared" si="199"/>
        <v>-0.92663357396335089</v>
      </c>
      <c r="K785" s="20">
        <f t="shared" si="209"/>
        <v>16.751114380019757</v>
      </c>
      <c r="L785" s="20">
        <f t="shared" si="200"/>
        <v>1.1889205492250879E-2</v>
      </c>
      <c r="M785" s="20">
        <f t="shared" si="205"/>
        <v>0.25885489859026517</v>
      </c>
      <c r="N785" s="1">
        <f t="shared" si="210"/>
        <v>204.69318582838886</v>
      </c>
      <c r="P785" s="20">
        <f t="shared" si="211"/>
        <v>-22.304059429972817</v>
      </c>
      <c r="Q785" s="20">
        <f t="shared" si="206"/>
        <v>-0.23262703775309548</v>
      </c>
      <c r="R785" s="20">
        <f t="shared" si="207"/>
        <v>-5.0648168463552254</v>
      </c>
      <c r="S785" s="20">
        <f t="shared" si="212"/>
        <v>57.116683890208265</v>
      </c>
      <c r="T785" s="1">
        <f t="shared" si="213"/>
        <v>0</v>
      </c>
    </row>
    <row r="786" spans="1:20" x14ac:dyDescent="0.25">
      <c r="A786" s="20">
        <f t="shared" si="208"/>
        <v>7.8099999999998779</v>
      </c>
      <c r="C786" s="20">
        <f t="shared" si="198"/>
        <v>27.935989576976894</v>
      </c>
      <c r="D786" s="20">
        <f t="shared" si="201"/>
        <v>0.1676351203020908</v>
      </c>
      <c r="E786" s="20">
        <f t="shared" si="202"/>
        <v>3.6497957827583454</v>
      </c>
      <c r="F786" s="20">
        <f t="shared" si="203"/>
        <v>0.14081350105375628</v>
      </c>
      <c r="G786" s="20">
        <f t="shared" si="204"/>
        <v>3.0658284575170103</v>
      </c>
      <c r="I786" s="20">
        <f t="shared" si="199"/>
        <v>-0.92764824705880644</v>
      </c>
      <c r="K786" s="20">
        <f t="shared" si="209"/>
        <v>16.753702929005659</v>
      </c>
      <c r="L786" s="20">
        <f t="shared" si="200"/>
        <v>1.2146898717314031E-2</v>
      </c>
      <c r="M786" s="20">
        <f t="shared" si="205"/>
        <v>0.26446546303753604</v>
      </c>
      <c r="N786" s="1">
        <f t="shared" si="210"/>
        <v>204.86070991493398</v>
      </c>
      <c r="P786" s="20">
        <f t="shared" si="211"/>
        <v>-22.35470759843637</v>
      </c>
      <c r="Q786" s="20">
        <f t="shared" si="206"/>
        <v>-0.23198137771268401</v>
      </c>
      <c r="R786" s="20">
        <f t="shared" si="207"/>
        <v>-5.0507593667033319</v>
      </c>
      <c r="S786" s="20">
        <f t="shared" si="212"/>
        <v>56.89339005506622</v>
      </c>
      <c r="T786" s="1">
        <f t="shared" si="213"/>
        <v>0</v>
      </c>
    </row>
    <row r="787" spans="1:20" x14ac:dyDescent="0.25">
      <c r="A787" s="20">
        <f t="shared" si="208"/>
        <v>7.8199999999998777</v>
      </c>
      <c r="C787" s="20">
        <f t="shared" si="198"/>
        <v>27.978006579241601</v>
      </c>
      <c r="D787" s="20">
        <f t="shared" si="201"/>
        <v>0.16813976124931962</v>
      </c>
      <c r="E787" s="20">
        <f t="shared" si="202"/>
        <v>3.6607829577469979</v>
      </c>
      <c r="F787" s="20">
        <f t="shared" si="203"/>
        <v>0.14123739944942848</v>
      </c>
      <c r="G787" s="20">
        <f t="shared" si="204"/>
        <v>3.0750576845074784</v>
      </c>
      <c r="I787" s="20">
        <f t="shared" si="199"/>
        <v>-0.92865525271230231</v>
      </c>
      <c r="K787" s="20">
        <f t="shared" si="209"/>
        <v>16.756347583636035</v>
      </c>
      <c r="L787" s="20">
        <f t="shared" si="200"/>
        <v>1.2404244910422857E-2</v>
      </c>
      <c r="M787" s="20">
        <f t="shared" si="205"/>
        <v>0.27006847181412708</v>
      </c>
      <c r="N787" s="1">
        <f t="shared" si="210"/>
        <v>205.02826016749719</v>
      </c>
      <c r="P787" s="20">
        <f t="shared" si="211"/>
        <v>-22.405215192103402</v>
      </c>
      <c r="Q787" s="20">
        <f t="shared" si="206"/>
        <v>-0.23133571876809106</v>
      </c>
      <c r="R787" s="20">
        <f t="shared" si="207"/>
        <v>-5.0367019109098861</v>
      </c>
      <c r="S787" s="20">
        <f t="shared" si="212"/>
        <v>56.66959044111352</v>
      </c>
      <c r="T787" s="1">
        <f t="shared" si="213"/>
        <v>0</v>
      </c>
    </row>
    <row r="788" spans="1:20" x14ac:dyDescent="0.25">
      <c r="A788" s="20">
        <f t="shared" si="208"/>
        <v>7.8299999999998775</v>
      </c>
      <c r="C788" s="20">
        <f t="shared" si="198"/>
        <v>28.019972721356254</v>
      </c>
      <c r="D788" s="20">
        <f t="shared" si="201"/>
        <v>0.16864454840197995</v>
      </c>
      <c r="E788" s="20">
        <f t="shared" si="202"/>
        <v>3.6717733159586317</v>
      </c>
      <c r="F788" s="20">
        <f t="shared" si="203"/>
        <v>0.14166142065766318</v>
      </c>
      <c r="G788" s="20">
        <f t="shared" si="204"/>
        <v>3.084289585405251</v>
      </c>
      <c r="I788" s="20">
        <f t="shared" si="199"/>
        <v>-0.92965463405242854</v>
      </c>
      <c r="K788" s="20">
        <f t="shared" si="209"/>
        <v>16.759048268354178</v>
      </c>
      <c r="L788" s="20">
        <f t="shared" si="200"/>
        <v>1.2661238267421368E-2</v>
      </c>
      <c r="M788" s="20">
        <f t="shared" si="205"/>
        <v>0.2756637985504326</v>
      </c>
      <c r="N788" s="1">
        <f t="shared" si="210"/>
        <v>205.19583714675716</v>
      </c>
      <c r="P788" s="20">
        <f t="shared" si="211"/>
        <v>-22.455582211212501</v>
      </c>
      <c r="Q788" s="20">
        <f t="shared" si="206"/>
        <v>-0.23069006995734589</v>
      </c>
      <c r="R788" s="20">
        <f t="shared" si="207"/>
        <v>-5.0226446757532308</v>
      </c>
      <c r="S788" s="20">
        <f t="shared" si="212"/>
        <v>56.445286454096937</v>
      </c>
      <c r="T788" s="1">
        <f t="shared" si="213"/>
        <v>0</v>
      </c>
    </row>
    <row r="789" spans="1:20" x14ac:dyDescent="0.25">
      <c r="A789" s="20">
        <f t="shared" si="208"/>
        <v>7.8399999999998773</v>
      </c>
      <c r="C789" s="20">
        <f t="shared" si="198"/>
        <v>28.061887446630383</v>
      </c>
      <c r="D789" s="20">
        <f t="shared" si="201"/>
        <v>0.16914947229807564</v>
      </c>
      <c r="E789" s="20">
        <f t="shared" si="202"/>
        <v>3.6827666513841857</v>
      </c>
      <c r="F789" s="20">
        <f t="shared" si="203"/>
        <v>0.14208555673038353</v>
      </c>
      <c r="G789" s="20">
        <f t="shared" si="204"/>
        <v>3.0935239871627158</v>
      </c>
      <c r="I789" s="20">
        <f t="shared" si="199"/>
        <v>-0.9306464339849787</v>
      </c>
      <c r="K789" s="20">
        <f t="shared" si="209"/>
        <v>16.761804906339684</v>
      </c>
      <c r="L789" s="20">
        <f t="shared" si="200"/>
        <v>1.2917872999595181E-2</v>
      </c>
      <c r="M789" s="20">
        <f t="shared" si="205"/>
        <v>0.28125131721304553</v>
      </c>
      <c r="N789" s="1">
        <f t="shared" si="210"/>
        <v>205.36344141263064</v>
      </c>
      <c r="P789" s="20">
        <f t="shared" si="211"/>
        <v>-22.505808657970032</v>
      </c>
      <c r="Q789" s="20">
        <f t="shared" si="206"/>
        <v>-0.2300444402848443</v>
      </c>
      <c r="R789" s="20">
        <f t="shared" si="207"/>
        <v>-5.0085878572794318</v>
      </c>
      <c r="S789" s="20">
        <f t="shared" si="212"/>
        <v>56.220479499751029</v>
      </c>
      <c r="T789" s="1">
        <f t="shared" si="213"/>
        <v>0</v>
      </c>
    </row>
    <row r="790" spans="1:20" x14ac:dyDescent="0.25">
      <c r="A790" s="20">
        <f t="shared" si="208"/>
        <v>7.8499999999998771</v>
      </c>
      <c r="C790" s="20">
        <f t="shared" si="198"/>
        <v>28.103750204665594</v>
      </c>
      <c r="D790" s="20">
        <f t="shared" si="201"/>
        <v>0.1696545235148636</v>
      </c>
      <c r="E790" s="20">
        <f t="shared" si="202"/>
        <v>3.693762758869227</v>
      </c>
      <c r="F790" s="20">
        <f t="shared" si="203"/>
        <v>0.14250979975248543</v>
      </c>
      <c r="G790" s="20">
        <f t="shared" si="204"/>
        <v>3.1027607174501508</v>
      </c>
      <c r="I790" s="20">
        <f t="shared" si="199"/>
        <v>-0.93163069519344444</v>
      </c>
      <c r="K790" s="20">
        <f t="shared" si="209"/>
        <v>16.764617419511815</v>
      </c>
      <c r="L790" s="20">
        <f t="shared" si="200"/>
        <v>1.3174143334193686E-2</v>
      </c>
      <c r="M790" s="20">
        <f t="shared" si="205"/>
        <v>0.28683090211612644</v>
      </c>
      <c r="N790" s="1">
        <f t="shared" si="210"/>
        <v>205.53107352425991</v>
      </c>
      <c r="P790" s="20">
        <f t="shared" si="211"/>
        <v>-22.555894536542827</v>
      </c>
      <c r="Q790" s="20">
        <f t="shared" si="206"/>
        <v>-0.22939883872121897</v>
      </c>
      <c r="R790" s="20">
        <f t="shared" si="207"/>
        <v>-4.9945316507994555</v>
      </c>
      <c r="S790" s="20">
        <f t="shared" si="212"/>
        <v>55.995170983778465</v>
      </c>
      <c r="T790" s="1">
        <f t="shared" si="213"/>
        <v>0</v>
      </c>
    </row>
    <row r="791" spans="1:20" x14ac:dyDescent="0.25">
      <c r="A791" s="20">
        <f t="shared" si="208"/>
        <v>7.8599999999998769</v>
      </c>
      <c r="C791" s="20">
        <f t="shared" si="198"/>
        <v>28.145560451309862</v>
      </c>
      <c r="D791" s="20">
        <f t="shared" si="201"/>
        <v>0.17015969266899009</v>
      </c>
      <c r="E791" s="20">
        <f t="shared" si="202"/>
        <v>3.7047614341169193</v>
      </c>
      <c r="F791" s="20">
        <f t="shared" si="203"/>
        <v>0.14293414184195169</v>
      </c>
      <c r="G791" s="20">
        <f t="shared" si="204"/>
        <v>3.1119996046582123</v>
      </c>
      <c r="I791" s="20">
        <f t="shared" si="199"/>
        <v>-0.93260746013953066</v>
      </c>
      <c r="K791" s="20">
        <f t="shared" si="209"/>
        <v>16.767485728532975</v>
      </c>
      <c r="L791" s="20">
        <f t="shared" si="200"/>
        <v>1.3430043514943424E-2</v>
      </c>
      <c r="M791" s="20">
        <f t="shared" si="205"/>
        <v>0.29240242793258053</v>
      </c>
      <c r="N791" s="1">
        <f t="shared" si="210"/>
        <v>205.69873404000012</v>
      </c>
      <c r="P791" s="20">
        <f t="shared" si="211"/>
        <v>-22.605839853050821</v>
      </c>
      <c r="Q791" s="20">
        <f t="shared" si="206"/>
        <v>-0.22875327420321345</v>
      </c>
      <c r="R791" s="20">
        <f t="shared" si="207"/>
        <v>-4.980476250886424</v>
      </c>
      <c r="S791" s="20">
        <f t="shared" si="212"/>
        <v>55.769362311830498</v>
      </c>
      <c r="T791" s="1">
        <f t="shared" si="213"/>
        <v>0</v>
      </c>
    </row>
    <row r="792" spans="1:20" x14ac:dyDescent="0.25">
      <c r="A792" s="20">
        <f t="shared" si="208"/>
        <v>7.8699999999998766</v>
      </c>
      <c r="C792" s="20">
        <f t="shared" si="198"/>
        <v>28.187317648612126</v>
      </c>
      <c r="D792" s="20">
        <f t="shared" si="201"/>
        <v>0.1706649704166246</v>
      </c>
      <c r="E792" s="20">
        <f t="shared" si="202"/>
        <v>3.7157624736909338</v>
      </c>
      <c r="F792" s="20">
        <f t="shared" si="203"/>
        <v>0.14335857514996467</v>
      </c>
      <c r="G792" s="20">
        <f t="shared" si="204"/>
        <v>3.1212404779003848</v>
      </c>
      <c r="I792" s="20">
        <f t="shared" si="199"/>
        <v>-0.93357677106369097</v>
      </c>
      <c r="K792" s="20">
        <f t="shared" si="209"/>
        <v>16.770409752812302</v>
      </c>
      <c r="L792" s="20">
        <f t="shared" si="200"/>
        <v>1.3685567802554449E-2</v>
      </c>
      <c r="M792" s="20">
        <f t="shared" si="205"/>
        <v>0.29796576970508271</v>
      </c>
      <c r="N792" s="1">
        <f t="shared" si="210"/>
        <v>205.86642351740684</v>
      </c>
      <c r="P792" s="20">
        <f t="shared" si="211"/>
        <v>-22.655644615559684</v>
      </c>
      <c r="Q792" s="20">
        <f t="shared" si="206"/>
        <v>-0.22810775563355862</v>
      </c>
      <c r="R792" s="20">
        <f t="shared" si="207"/>
        <v>-4.966421851372929</v>
      </c>
      <c r="S792" s="20">
        <f t="shared" si="212"/>
        <v>55.543054889487451</v>
      </c>
      <c r="T792" s="1">
        <f t="shared" si="213"/>
        <v>0</v>
      </c>
    </row>
    <row r="793" spans="1:20" x14ac:dyDescent="0.25">
      <c r="A793" s="20">
        <f t="shared" si="208"/>
        <v>7.8799999999998764</v>
      </c>
      <c r="C793" s="20">
        <f t="shared" si="198"/>
        <v>28.229021264777135</v>
      </c>
      <c r="D793" s="20">
        <f t="shared" si="201"/>
        <v>0.17117034745359105</v>
      </c>
      <c r="E793" s="20">
        <f t="shared" si="202"/>
        <v>3.7267656750183118</v>
      </c>
      <c r="F793" s="20">
        <f t="shared" si="203"/>
        <v>0.14378309186101648</v>
      </c>
      <c r="G793" s="20">
        <f t="shared" si="204"/>
        <v>3.1304831670153819</v>
      </c>
      <c r="I793" s="20">
        <f t="shared" si="199"/>
        <v>-0.93453866998568358</v>
      </c>
      <c r="K793" s="20">
        <f t="shared" si="209"/>
        <v>16.773389410509353</v>
      </c>
      <c r="L793" s="20">
        <f t="shared" si="200"/>
        <v>1.3940710475218887E-2</v>
      </c>
      <c r="M793" s="20">
        <f t="shared" si="205"/>
        <v>0.303520802856932</v>
      </c>
      <c r="N793" s="1">
        <f t="shared" si="210"/>
        <v>206.03414251322346</v>
      </c>
      <c r="P793" s="20">
        <f t="shared" si="211"/>
        <v>-22.705308834073413</v>
      </c>
      <c r="Q793" s="20">
        <f t="shared" si="206"/>
        <v>-0.2274622918808516</v>
      </c>
      <c r="R793" s="20">
        <f t="shared" si="207"/>
        <v>-4.9523686453483915</v>
      </c>
      <c r="S793" s="20">
        <f t="shared" si="212"/>
        <v>55.316250122239282</v>
      </c>
      <c r="T793" s="1">
        <f t="shared" si="213"/>
        <v>0</v>
      </c>
    </row>
    <row r="794" spans="1:20" x14ac:dyDescent="0.25">
      <c r="A794" s="20">
        <f t="shared" si="208"/>
        <v>7.8899999999998762</v>
      </c>
      <c r="C794" s="20">
        <f t="shared" si="198"/>
        <v>28.27067077412055</v>
      </c>
      <c r="D794" s="20">
        <f t="shared" si="201"/>
        <v>0.1716758145154966</v>
      </c>
      <c r="E794" s="20">
        <f t="shared" si="202"/>
        <v>3.7377708363922624</v>
      </c>
      <c r="F794" s="20">
        <f t="shared" si="203"/>
        <v>0.14420768419301716</v>
      </c>
      <c r="G794" s="20">
        <f t="shared" si="204"/>
        <v>3.1397275025695008</v>
      </c>
      <c r="I794" s="20">
        <f t="shared" si="199"/>
        <v>-0.93549319870514458</v>
      </c>
      <c r="K794" s="20">
        <f t="shared" si="209"/>
        <v>16.776424618537924</v>
      </c>
      <c r="L794" s="20">
        <f t="shared" si="200"/>
        <v>1.4195465829101694E-2</v>
      </c>
      <c r="M794" s="20">
        <f t="shared" si="205"/>
        <v>0.30906740320273668</v>
      </c>
      <c r="N794" s="1">
        <f t="shared" si="210"/>
        <v>206.20189158336868</v>
      </c>
      <c r="P794" s="20">
        <f t="shared" si="211"/>
        <v>-22.754832520526897</v>
      </c>
      <c r="Q794" s="20">
        <f t="shared" si="206"/>
        <v>-0.22681689177943759</v>
      </c>
      <c r="R794" s="20">
        <f t="shared" si="207"/>
        <v>-4.9383168251564902</v>
      </c>
      <c r="S794" s="20">
        <f t="shared" si="212"/>
        <v>55.088949415466281</v>
      </c>
      <c r="T794" s="1">
        <f t="shared" si="213"/>
        <v>0</v>
      </c>
    </row>
    <row r="795" spans="1:20" x14ac:dyDescent="0.25">
      <c r="A795" s="20">
        <f t="shared" si="208"/>
        <v>7.899999999999876</v>
      </c>
      <c r="C795" s="20">
        <f t="shared" si="198"/>
        <v>28.312265657024319</v>
      </c>
      <c r="D795" s="20">
        <f t="shared" si="201"/>
        <v>0.17218136237785775</v>
      </c>
      <c r="E795" s="20">
        <f t="shared" si="202"/>
        <v>3.748777756974913</v>
      </c>
      <c r="F795" s="20">
        <f t="shared" si="203"/>
        <v>0.1446323443974005</v>
      </c>
      <c r="G795" s="20">
        <f t="shared" si="204"/>
        <v>3.1489733158589268</v>
      </c>
      <c r="I795" s="20">
        <f t="shared" si="199"/>
        <v>-0.93644039880218077</v>
      </c>
      <c r="K795" s="20">
        <f t="shared" si="209"/>
        <v>16.77951529256995</v>
      </c>
      <c r="L795" s="20">
        <f t="shared" si="200"/>
        <v>1.444982817882387E-2</v>
      </c>
      <c r="M795" s="20">
        <f t="shared" si="205"/>
        <v>0.31460544695893472</v>
      </c>
      <c r="N795" s="1">
        <f t="shared" si="210"/>
        <v>206.36967128292423</v>
      </c>
      <c r="P795" s="20">
        <f t="shared" si="211"/>
        <v>-22.804215688778463</v>
      </c>
      <c r="Q795" s="20">
        <f t="shared" si="206"/>
        <v>-0.22617156412929446</v>
      </c>
      <c r="R795" s="20">
        <f t="shared" si="207"/>
        <v>-4.9242665823926508</v>
      </c>
      <c r="S795" s="20">
        <f t="shared" si="212"/>
        <v>54.861154174419752</v>
      </c>
      <c r="T795" s="1">
        <f t="shared" si="213"/>
        <v>0</v>
      </c>
    </row>
    <row r="796" spans="1:20" x14ac:dyDescent="0.25">
      <c r="A796" s="20">
        <f t="shared" si="208"/>
        <v>7.9099999999998758</v>
      </c>
      <c r="C796" s="20">
        <f t="shared" si="198"/>
        <v>28.353805399892284</v>
      </c>
      <c r="D796" s="20">
        <f t="shared" si="201"/>
        <v>0.17268698185622369</v>
      </c>
      <c r="E796" s="20">
        <f t="shared" si="202"/>
        <v>3.7597862367999935</v>
      </c>
      <c r="F796" s="20">
        <f t="shared" si="203"/>
        <v>0.14505706475922792</v>
      </c>
      <c r="G796" s="20">
        <f t="shared" si="204"/>
        <v>3.1582204389119948</v>
      </c>
      <c r="I796" s="20">
        <f t="shared" si="199"/>
        <v>-0.93738031163797975</v>
      </c>
      <c r="K796" s="20">
        <f t="shared" si="209"/>
        <v>16.782661347039539</v>
      </c>
      <c r="L796" s="20">
        <f t="shared" si="200"/>
        <v>1.4703791857938658E-2</v>
      </c>
      <c r="M796" s="20">
        <f t="shared" si="205"/>
        <v>0.32013481075416195</v>
      </c>
      <c r="N796" s="1">
        <f t="shared" si="210"/>
        <v>206.53748216612226</v>
      </c>
      <c r="P796" s="20">
        <f t="shared" si="211"/>
        <v>-22.853458354602388</v>
      </c>
      <c r="Q796" s="20">
        <f t="shared" si="206"/>
        <v>-0.2255263176959198</v>
      </c>
      <c r="R796" s="20">
        <f t="shared" si="207"/>
        <v>-4.910218107901585</v>
      </c>
      <c r="S796" s="20">
        <f t="shared" si="212"/>
        <v>54.632865804202851</v>
      </c>
      <c r="T796" s="1">
        <f t="shared" si="213"/>
        <v>0</v>
      </c>
    </row>
    <row r="797" spans="1:20" x14ac:dyDescent="0.25">
      <c r="A797" s="20">
        <f t="shared" si="208"/>
        <v>7.9199999999998756</v>
      </c>
      <c r="C797" s="20">
        <f t="shared" si="198"/>
        <v>28.395289495106081</v>
      </c>
      <c r="D797" s="20">
        <f t="shared" si="201"/>
        <v>0.17319266380629753</v>
      </c>
      <c r="E797" s="20">
        <f t="shared" si="202"/>
        <v>3.7707960767754742</v>
      </c>
      <c r="F797" s="20">
        <f t="shared" si="203"/>
        <v>0.14548183759728991</v>
      </c>
      <c r="G797" s="20">
        <f t="shared" si="204"/>
        <v>3.1674687044913981</v>
      </c>
      <c r="I797" s="20">
        <f t="shared" si="199"/>
        <v>-0.93831297835543659</v>
      </c>
      <c r="K797" s="20">
        <f t="shared" si="209"/>
        <v>16.785862695147081</v>
      </c>
      <c r="L797" s="20">
        <f t="shared" si="200"/>
        <v>1.4957351219399367E-2</v>
      </c>
      <c r="M797" s="20">
        <f t="shared" si="205"/>
        <v>0.32565537163943759</v>
      </c>
      <c r="N797" s="1">
        <f t="shared" si="210"/>
        <v>206.70532478633319</v>
      </c>
      <c r="P797" s="20">
        <f t="shared" si="211"/>
        <v>-22.902560535681403</v>
      </c>
      <c r="Q797" s="20">
        <f t="shared" si="206"/>
        <v>-0.22488116121022078</v>
      </c>
      <c r="R797" s="20">
        <f t="shared" si="207"/>
        <v>-4.896171591774892</v>
      </c>
      <c r="S797" s="20">
        <f t="shared" si="212"/>
        <v>54.404085709751435</v>
      </c>
      <c r="T797" s="1">
        <f t="shared" si="213"/>
        <v>0</v>
      </c>
    </row>
    <row r="798" spans="1:20" x14ac:dyDescent="0.25">
      <c r="A798" s="20">
        <f t="shared" si="208"/>
        <v>7.9299999999998754</v>
      </c>
      <c r="C798" s="20">
        <f t="shared" si="198"/>
        <v>28.436717440981283</v>
      </c>
      <c r="D798" s="20">
        <f t="shared" si="201"/>
        <v>0.17369839912405463</v>
      </c>
      <c r="E798" s="20">
        <f t="shared" si="202"/>
        <v>3.7818070786861449</v>
      </c>
      <c r="F798" s="20">
        <f t="shared" si="203"/>
        <v>0.1459066552642059</v>
      </c>
      <c r="G798" s="20">
        <f t="shared" si="204"/>
        <v>3.1767179460963622</v>
      </c>
      <c r="I798" s="20">
        <f t="shared" si="199"/>
        <v>-0.93923843987979805</v>
      </c>
      <c r="K798" s="20">
        <f t="shared" si="209"/>
        <v>16.789119248863475</v>
      </c>
      <c r="L798" s="20">
        <f t="shared" si="200"/>
        <v>1.5210500636020891E-2</v>
      </c>
      <c r="M798" s="20">
        <f t="shared" si="205"/>
        <v>0.33116700709821228</v>
      </c>
      <c r="N798" s="1">
        <f t="shared" si="210"/>
        <v>206.87319969605323</v>
      </c>
      <c r="P798" s="20">
        <f t="shared" si="211"/>
        <v>-22.951522251599151</v>
      </c>
      <c r="Q798" s="20">
        <f t="shared" si="206"/>
        <v>-0.22423610336840605</v>
      </c>
      <c r="R798" s="20">
        <f t="shared" si="207"/>
        <v>-4.8821272233487054</v>
      </c>
      <c r="S798" s="20">
        <f t="shared" si="212"/>
        <v>54.17481529581503</v>
      </c>
      <c r="T798" s="1">
        <f t="shared" si="213"/>
        <v>0</v>
      </c>
    </row>
    <row r="799" spans="1:20" x14ac:dyDescent="0.25">
      <c r="A799" s="20">
        <f t="shared" si="208"/>
        <v>7.9399999999998752</v>
      </c>
      <c r="C799" s="20">
        <f t="shared" si="198"/>
        <v>28.478088741723798</v>
      </c>
      <c r="D799" s="20">
        <f t="shared" si="201"/>
        <v>0.17420417874585836</v>
      </c>
      <c r="E799" s="20">
        <f t="shared" si="202"/>
        <v>3.7928190451961323</v>
      </c>
      <c r="F799" s="20">
        <f t="shared" si="203"/>
        <v>0.14633151014652104</v>
      </c>
      <c r="G799" s="20">
        <f t="shared" si="204"/>
        <v>3.1859679979647519</v>
      </c>
      <c r="I799" s="20">
        <f t="shared" si="199"/>
        <v>-0.94015673691932067</v>
      </c>
      <c r="K799" s="20">
        <f t="shared" si="209"/>
        <v>16.792430918934457</v>
      </c>
      <c r="L799" s="20">
        <f t="shared" si="200"/>
        <v>1.546323450093276E-2</v>
      </c>
      <c r="M799" s="20">
        <f t="shared" si="205"/>
        <v>0.33666959505623256</v>
      </c>
      <c r="N799" s="1">
        <f t="shared" si="210"/>
        <v>207.04110744689223</v>
      </c>
      <c r="P799" s="20">
        <f t="shared" si="211"/>
        <v>-23.000343523832637</v>
      </c>
      <c r="Q799" s="20">
        <f t="shared" si="206"/>
        <v>-0.22359115283188125</v>
      </c>
      <c r="R799" s="20">
        <f t="shared" si="207"/>
        <v>-4.8680851912014207</v>
      </c>
      <c r="S799" s="20">
        <f t="shared" si="212"/>
        <v>53.945055966937872</v>
      </c>
      <c r="T799" s="1">
        <f t="shared" si="213"/>
        <v>0</v>
      </c>
    </row>
    <row r="800" spans="1:20" x14ac:dyDescent="0.25">
      <c r="A800" s="20">
        <f t="shared" si="208"/>
        <v>7.9499999999998749</v>
      </c>
      <c r="C800" s="20">
        <f t="shared" si="198"/>
        <v>28.519402907386549</v>
      </c>
      <c r="D800" s="20">
        <f t="shared" si="201"/>
        <v>0.17470999364857381</v>
      </c>
      <c r="E800" s="20">
        <f t="shared" si="202"/>
        <v>3.8038317798513788</v>
      </c>
      <c r="F800" s="20">
        <f t="shared" si="203"/>
        <v>0.146756394664802</v>
      </c>
      <c r="G800" s="20">
        <f t="shared" si="204"/>
        <v>3.195218695075158</v>
      </c>
      <c r="I800" s="20">
        <f t="shared" si="199"/>
        <v>-0.94106790996594658</v>
      </c>
      <c r="K800" s="20">
        <f t="shared" si="209"/>
        <v>16.795797614885018</v>
      </c>
      <c r="L800" s="20">
        <f t="shared" si="200"/>
        <v>1.5715547228025831E-2</v>
      </c>
      <c r="M800" s="20">
        <f t="shared" si="205"/>
        <v>0.34216301389126563</v>
      </c>
      <c r="N800" s="1">
        <f t="shared" si="210"/>
        <v>207.20904858956132</v>
      </c>
      <c r="P800" s="20">
        <f t="shared" si="211"/>
        <v>-23.049024375744651</v>
      </c>
      <c r="Q800" s="20">
        <f t="shared" si="206"/>
        <v>-0.22294631822714533</v>
      </c>
      <c r="R800" s="20">
        <f t="shared" si="207"/>
        <v>-4.8540456831514334</v>
      </c>
      <c r="S800" s="20">
        <f t="shared" si="212"/>
        <v>53.714809127439992</v>
      </c>
      <c r="T800" s="1">
        <f t="shared" si="213"/>
        <v>0</v>
      </c>
    </row>
    <row r="801" spans="1:20" x14ac:dyDescent="0.25">
      <c r="A801" s="20">
        <f t="shared" si="208"/>
        <v>7.9599999999998747</v>
      </c>
      <c r="C801" s="20">
        <f t="shared" si="198"/>
        <v>28.560659453826368</v>
      </c>
      <c r="D801" s="20">
        <f t="shared" si="201"/>
        <v>0.17521583484967795</v>
      </c>
      <c r="E801" s="20">
        <f t="shared" si="202"/>
        <v>3.8148450870820372</v>
      </c>
      <c r="F801" s="20">
        <f t="shared" si="203"/>
        <v>0.1471813012737295</v>
      </c>
      <c r="G801" s="20">
        <f t="shared" si="204"/>
        <v>3.2044698731489114</v>
      </c>
      <c r="I801" s="20">
        <f t="shared" si="199"/>
        <v>-0.94197199929599174</v>
      </c>
      <c r="K801" s="20">
        <f t="shared" si="209"/>
        <v>16.799219245023931</v>
      </c>
      <c r="L801" s="20">
        <f t="shared" si="200"/>
        <v>1.596743325239118E-2</v>
      </c>
      <c r="M801" s="20">
        <f t="shared" si="205"/>
        <v>0.34764714244265582</v>
      </c>
      <c r="N801" s="1">
        <f t="shared" si="210"/>
        <v>207.37702367386086</v>
      </c>
      <c r="P801" s="20">
        <f t="shared" si="211"/>
        <v>-23.097564832576165</v>
      </c>
      <c r="Q801" s="20">
        <f t="shared" si="206"/>
        <v>-0.2223016081456915</v>
      </c>
      <c r="R801" s="20">
        <f t="shared" si="207"/>
        <v>-4.8400088862549859</v>
      </c>
      <c r="S801" s="20">
        <f t="shared" si="212"/>
        <v>53.484076181398393</v>
      </c>
      <c r="T801" s="1">
        <f t="shared" si="213"/>
        <v>0</v>
      </c>
    </row>
    <row r="802" spans="1:20" x14ac:dyDescent="0.25">
      <c r="A802" s="20">
        <f t="shared" si="208"/>
        <v>7.9699999999998745</v>
      </c>
      <c r="C802" s="20">
        <f t="shared" si="198"/>
        <v>28.601857902661209</v>
      </c>
      <c r="D802" s="20">
        <f t="shared" si="201"/>
        <v>0.17572169340736857</v>
      </c>
      <c r="E802" s="20">
        <f t="shared" si="202"/>
        <v>3.825858772204846</v>
      </c>
      <c r="F802" s="20">
        <f t="shared" si="203"/>
        <v>0.1476062224621896</v>
      </c>
      <c r="G802" s="20">
        <f t="shared" si="204"/>
        <v>3.2137213686520707</v>
      </c>
      <c r="I802" s="20">
        <f t="shared" si="199"/>
        <v>-0.94286904497084956</v>
      </c>
      <c r="K802" s="20">
        <f t="shared" si="209"/>
        <v>16.802695716448358</v>
      </c>
      <c r="L802" s="20">
        <f t="shared" si="200"/>
        <v>1.621888703075175E-2</v>
      </c>
      <c r="M802" s="20">
        <f t="shared" si="205"/>
        <v>0.35312186002072177</v>
      </c>
      <c r="N802" s="1">
        <f t="shared" si="210"/>
        <v>207.54503324866823</v>
      </c>
      <c r="P802" s="20">
        <f t="shared" si="211"/>
        <v>-23.145964921438715</v>
      </c>
      <c r="Q802" s="20">
        <f t="shared" si="206"/>
        <v>-0.2216570311439085</v>
      </c>
      <c r="R802" s="20">
        <f t="shared" si="207"/>
        <v>-4.8259749868040167</v>
      </c>
      <c r="S802" s="20">
        <f t="shared" si="212"/>
        <v>53.252858532628323</v>
      </c>
      <c r="T802" s="1">
        <f t="shared" si="213"/>
        <v>0</v>
      </c>
    </row>
    <row r="803" spans="1:20" x14ac:dyDescent="0.25">
      <c r="A803" s="20">
        <f t="shared" si="208"/>
        <v>7.9799999999998743</v>
      </c>
      <c r="C803" s="20">
        <f t="shared" si="198"/>
        <v>28.64299778122756</v>
      </c>
      <c r="D803" s="20">
        <f t="shared" si="201"/>
        <v>0.17622756042066939</v>
      </c>
      <c r="E803" s="20">
        <f t="shared" si="202"/>
        <v>3.8368726414254168</v>
      </c>
      <c r="F803" s="20">
        <f t="shared" si="203"/>
        <v>0.14803115075336229</v>
      </c>
      <c r="G803" s="20">
        <f t="shared" si="204"/>
        <v>3.22297301879735</v>
      </c>
      <c r="I803" s="20">
        <f t="shared" si="199"/>
        <v>-0.94375908683770782</v>
      </c>
      <c r="K803" s="20">
        <f t="shared" si="209"/>
        <v>16.806226935048567</v>
      </c>
      <c r="L803" s="20">
        <f t="shared" si="200"/>
        <v>1.6469903041887349E-2</v>
      </c>
      <c r="M803" s="20">
        <f t="shared" si="205"/>
        <v>0.35858704641601019</v>
      </c>
      <c r="N803" s="1">
        <f t="shared" si="210"/>
        <v>207.71307786192571</v>
      </c>
      <c r="P803" s="20">
        <f t="shared" si="211"/>
        <v>-23.194224671306756</v>
      </c>
      <c r="Q803" s="20">
        <f t="shared" si="206"/>
        <v>-0.22101259574298615</v>
      </c>
      <c r="R803" s="20">
        <f t="shared" si="207"/>
        <v>-4.8119441703241055</v>
      </c>
      <c r="S803" s="20">
        <f t="shared" si="212"/>
        <v>53.0211575846646</v>
      </c>
      <c r="T803" s="1">
        <f t="shared" si="213"/>
        <v>0</v>
      </c>
    </row>
    <row r="804" spans="1:20" x14ac:dyDescent="0.25">
      <c r="A804" s="20">
        <f t="shared" si="208"/>
        <v>7.9899999999998741</v>
      </c>
      <c r="C804" s="20">
        <f t="shared" si="198"/>
        <v>28.684078622538156</v>
      </c>
      <c r="D804" s="20">
        <f t="shared" si="201"/>
        <v>0.17673342702953379</v>
      </c>
      <c r="E804" s="20">
        <f t="shared" si="202"/>
        <v>3.8478865018404917</v>
      </c>
      <c r="F804" s="20">
        <f t="shared" si="203"/>
        <v>0.1484560787048084</v>
      </c>
      <c r="G804" s="20">
        <f t="shared" si="204"/>
        <v>3.2322246615460135</v>
      </c>
      <c r="I804" s="20">
        <f t="shared" si="199"/>
        <v>-0.94464216453027916</v>
      </c>
      <c r="K804" s="20">
        <f t="shared" si="209"/>
        <v>16.809812805512728</v>
      </c>
      <c r="L804" s="20">
        <f t="shared" si="200"/>
        <v>1.6720475787052033E-2</v>
      </c>
      <c r="M804" s="20">
        <f t="shared" si="205"/>
        <v>0.36404258190838307</v>
      </c>
      <c r="N804" s="1">
        <f t="shared" si="210"/>
        <v>207.88115806062851</v>
      </c>
      <c r="P804" s="20">
        <f t="shared" si="211"/>
        <v>-23.242344113009999</v>
      </c>
      <c r="Q804" s="20">
        <f t="shared" si="206"/>
        <v>-0.22036831042882149</v>
      </c>
      <c r="R804" s="20">
        <f t="shared" si="207"/>
        <v>-4.7979166215724254</v>
      </c>
      <c r="S804" s="20">
        <f t="shared" si="212"/>
        <v>52.788974740743015</v>
      </c>
      <c r="T804" s="1">
        <f t="shared" si="213"/>
        <v>0</v>
      </c>
    </row>
    <row r="805" spans="1:20" x14ac:dyDescent="0.25">
      <c r="A805" s="20">
        <f t="shared" si="208"/>
        <v>7.9999999999998739</v>
      </c>
      <c r="C805" s="20">
        <f t="shared" si="198"/>
        <v>28.725099965239909</v>
      </c>
      <c r="D805" s="20">
        <f t="shared" si="201"/>
        <v>0.17723928441494494</v>
      </c>
      <c r="E805" s="20">
        <f t="shared" si="202"/>
        <v>3.858900161440125</v>
      </c>
      <c r="F805" s="20">
        <f t="shared" si="203"/>
        <v>0.14888099890855375</v>
      </c>
      <c r="G805" s="20">
        <f t="shared" si="204"/>
        <v>3.2414761356097048</v>
      </c>
      <c r="I805" s="20">
        <f t="shared" si="199"/>
        <v>-0.9455183174695424</v>
      </c>
      <c r="K805" s="20">
        <f t="shared" si="209"/>
        <v>16.81345323133181</v>
      </c>
      <c r="L805" s="20">
        <f t="shared" si="200"/>
        <v>1.6970599790384538E-2</v>
      </c>
      <c r="M805" s="20">
        <f t="shared" si="205"/>
        <v>0.36948834727595337</v>
      </c>
      <c r="N805" s="1">
        <f t="shared" si="210"/>
        <v>208.04927439081274</v>
      </c>
      <c r="P805" s="20">
        <f t="shared" si="211"/>
        <v>-23.290323279225724</v>
      </c>
      <c r="Q805" s="20">
        <f t="shared" si="206"/>
        <v>-0.21972418365192922</v>
      </c>
      <c r="R805" s="20">
        <f t="shared" si="207"/>
        <v>-4.7838925245357986</v>
      </c>
      <c r="S805" s="20">
        <f t="shared" si="212"/>
        <v>52.556311403781834</v>
      </c>
      <c r="T805" s="1">
        <f t="shared" si="213"/>
        <v>0</v>
      </c>
    </row>
    <row r="806" spans="1:20" x14ac:dyDescent="0.25">
      <c r="A806" s="20">
        <f t="shared" si="208"/>
        <v>8.0099999999998737</v>
      </c>
      <c r="C806" s="20">
        <f t="shared" si="198"/>
        <v>28.766061353572155</v>
      </c>
      <c r="D806" s="20">
        <f t="shared" si="201"/>
        <v>0.17774512379901458</v>
      </c>
      <c r="E806" s="20">
        <f t="shared" si="202"/>
        <v>3.869913429109832</v>
      </c>
      <c r="F806" s="20">
        <f t="shared" si="203"/>
        <v>0.14930590399117225</v>
      </c>
      <c r="G806" s="20">
        <f t="shared" si="204"/>
        <v>3.2507272804522587</v>
      </c>
      <c r="I806" s="20">
        <f t="shared" si="199"/>
        <v>-0.94638758486449825</v>
      </c>
      <c r="K806" s="20">
        <f t="shared" si="209"/>
        <v>16.817148114804571</v>
      </c>
      <c r="L806" s="20">
        <f t="shared" si="200"/>
        <v>1.7220269599311971E-2</v>
      </c>
      <c r="M806" s="20">
        <f t="shared" si="205"/>
        <v>0.37492422380387486</v>
      </c>
      <c r="N806" s="1">
        <f t="shared" si="210"/>
        <v>208.21742739754345</v>
      </c>
      <c r="P806" s="20">
        <f t="shared" si="211"/>
        <v>-23.338162204471082</v>
      </c>
      <c r="Q806" s="20">
        <f t="shared" si="206"/>
        <v>-0.21908022382735251</v>
      </c>
      <c r="R806" s="20">
        <f t="shared" si="207"/>
        <v>-4.7698720624287505</v>
      </c>
      <c r="S806" s="20">
        <f t="shared" si="212"/>
        <v>52.323168976363348</v>
      </c>
      <c r="T806" s="1">
        <f t="shared" si="213"/>
        <v>0</v>
      </c>
    </row>
    <row r="807" spans="1:20" x14ac:dyDescent="0.25">
      <c r="A807" s="20">
        <f t="shared" si="208"/>
        <v>8.0199999999998735</v>
      </c>
      <c r="C807" s="20">
        <f t="shared" si="198"/>
        <v>28.806962337325078</v>
      </c>
      <c r="D807" s="20">
        <f t="shared" si="201"/>
        <v>0.1782509364450782</v>
      </c>
      <c r="E807" s="20">
        <f t="shared" si="202"/>
        <v>3.8809261146326626</v>
      </c>
      <c r="F807" s="20">
        <f t="shared" si="203"/>
        <v>0.14973078661386569</v>
      </c>
      <c r="G807" s="20">
        <f t="shared" si="204"/>
        <v>3.259977936291437</v>
      </c>
      <c r="I807" s="20">
        <f t="shared" si="199"/>
        <v>-0.94725000571293494</v>
      </c>
      <c r="K807" s="20">
        <f t="shared" si="209"/>
        <v>16.820897357042611</v>
      </c>
      <c r="L807" s="20">
        <f t="shared" si="200"/>
        <v>1.7469479784946243E-2</v>
      </c>
      <c r="M807" s="20">
        <f t="shared" si="205"/>
        <v>0.38035009329297287</v>
      </c>
      <c r="N807" s="1">
        <f t="shared" si="210"/>
        <v>208.38561762490269</v>
      </c>
      <c r="P807" s="20">
        <f t="shared" si="211"/>
        <v>-23.385860925095368</v>
      </c>
      <c r="Q807" s="20">
        <f t="shared" si="206"/>
        <v>-0.21843643933457782</v>
      </c>
      <c r="R807" s="20">
        <f t="shared" si="207"/>
        <v>-4.7558554176916576</v>
      </c>
      <c r="S807" s="20">
        <f t="shared" si="212"/>
        <v>52.089548860715517</v>
      </c>
      <c r="T807" s="1">
        <f t="shared" si="213"/>
        <v>0</v>
      </c>
    </row>
    <row r="808" spans="1:20" x14ac:dyDescent="0.25">
      <c r="A808" s="20">
        <f t="shared" si="208"/>
        <v>8.0299999999998732</v>
      </c>
      <c r="C808" s="20">
        <f t="shared" si="198"/>
        <v>28.847802471798449</v>
      </c>
      <c r="D808" s="20">
        <f t="shared" si="201"/>
        <v>0.17875671365778847</v>
      </c>
      <c r="E808" s="20">
        <f t="shared" si="202"/>
        <v>3.8919380286912362</v>
      </c>
      <c r="F808" s="20">
        <f t="shared" si="203"/>
        <v>0.15015563947254232</v>
      </c>
      <c r="G808" s="20">
        <f t="shared" si="204"/>
        <v>3.2692279441006384</v>
      </c>
      <c r="I808" s="20">
        <f t="shared" si="199"/>
        <v>-0.94810561880220556</v>
      </c>
      <c r="K808" s="20">
        <f t="shared" si="209"/>
        <v>16.824700857975539</v>
      </c>
      <c r="L808" s="20">
        <f t="shared" si="200"/>
        <v>1.7718224942473854E-2</v>
      </c>
      <c r="M808" s="20">
        <f t="shared" si="205"/>
        <v>0.38576583806823111</v>
      </c>
      <c r="N808" s="1">
        <f t="shared" si="210"/>
        <v>208.55384561597776</v>
      </c>
      <c r="P808" s="20">
        <f t="shared" si="211"/>
        <v>-23.433419479272285</v>
      </c>
      <c r="Q808" s="20">
        <f t="shared" si="206"/>
        <v>-0.21779283851745079</v>
      </c>
      <c r="R808" s="20">
        <f t="shared" si="207"/>
        <v>-4.7418427719889138</v>
      </c>
      <c r="S808" s="20">
        <f t="shared" si="212"/>
        <v>51.855452458693684</v>
      </c>
      <c r="T808" s="1">
        <f t="shared" si="213"/>
        <v>0</v>
      </c>
    </row>
    <row r="809" spans="1:20" x14ac:dyDescent="0.25">
      <c r="A809" s="20">
        <f t="shared" si="208"/>
        <v>8.039999999999873</v>
      </c>
      <c r="C809" s="20">
        <f t="shared" si="198"/>
        <v>28.88858131776059</v>
      </c>
      <c r="D809" s="20">
        <f t="shared" si="201"/>
        <v>0.17926244678320585</v>
      </c>
      <c r="E809" s="20">
        <f t="shared" si="202"/>
        <v>3.9029489828697117</v>
      </c>
      <c r="F809" s="20">
        <f t="shared" si="203"/>
        <v>0.15058045529789291</v>
      </c>
      <c r="G809" s="20">
        <f t="shared" si="204"/>
        <v>3.2784771456105575</v>
      </c>
      <c r="I809" s="20">
        <f t="shared" si="199"/>
        <v>-0.94895446271001582</v>
      </c>
      <c r="K809" s="20">
        <f t="shared" si="209"/>
        <v>16.828558516356221</v>
      </c>
      <c r="L809" s="20">
        <f t="shared" si="200"/>
        <v>1.7966499691538546E-2</v>
      </c>
      <c r="M809" s="20">
        <f t="shared" si="205"/>
        <v>0.3911713409871227</v>
      </c>
      <c r="N809" s="1">
        <f t="shared" si="210"/>
        <v>208.72211191284941</v>
      </c>
      <c r="P809" s="20">
        <f t="shared" si="211"/>
        <v>-23.480837906992175</v>
      </c>
      <c r="Q809" s="20">
        <f t="shared" si="206"/>
        <v>-0.21714942968409512</v>
      </c>
      <c r="R809" s="20">
        <f t="shared" si="207"/>
        <v>-4.7278343062071659</v>
      </c>
      <c r="S809" s="20">
        <f t="shared" si="212"/>
        <v>51.620881171762363</v>
      </c>
      <c r="T809" s="1">
        <f t="shared" si="213"/>
        <v>0</v>
      </c>
    </row>
    <row r="810" spans="1:20" x14ac:dyDescent="0.25">
      <c r="A810" s="20">
        <f t="shared" si="208"/>
        <v>8.0499999999998728</v>
      </c>
      <c r="C810" s="20">
        <f t="shared" si="198"/>
        <v>28.929298441407603</v>
      </c>
      <c r="D810" s="20">
        <f t="shared" si="201"/>
        <v>0.17976812720888671</v>
      </c>
      <c r="E810" s="20">
        <f t="shared" si="202"/>
        <v>3.9139587896557093</v>
      </c>
      <c r="F810" s="20">
        <f t="shared" si="203"/>
        <v>0.15100522685546483</v>
      </c>
      <c r="G810" s="20">
        <f t="shared" si="204"/>
        <v>3.2877253833107956</v>
      </c>
      <c r="I810" s="20">
        <f t="shared" si="199"/>
        <v>-0.94979657580522248</v>
      </c>
      <c r="K810" s="20">
        <f t="shared" si="209"/>
        <v>16.832470229766091</v>
      </c>
      <c r="L810" s="20">
        <f t="shared" si="200"/>
        <v>1.8214298676617419E-2</v>
      </c>
      <c r="M810" s="20">
        <f t="shared" si="205"/>
        <v>0.39656648544779927</v>
      </c>
      <c r="N810" s="1">
        <f t="shared" si="210"/>
        <v>208.89041705658005</v>
      </c>
      <c r="P810" s="20">
        <f t="shared" si="211"/>
        <v>-23.528116250054246</v>
      </c>
      <c r="Q810" s="20">
        <f t="shared" si="206"/>
        <v>-0.21650622110683349</v>
      </c>
      <c r="R810" s="20">
        <f t="shared" si="207"/>
        <v>-4.7138302004535921</v>
      </c>
      <c r="S810" s="20">
        <f t="shared" si="212"/>
        <v>51.385836400977126</v>
      </c>
      <c r="T810" s="1">
        <f t="shared" si="213"/>
        <v>0</v>
      </c>
    </row>
    <row r="811" spans="1:20" x14ac:dyDescent="0.25">
      <c r="A811" s="20">
        <f t="shared" si="208"/>
        <v>8.0599999999998726</v>
      </c>
      <c r="C811" s="20">
        <f t="shared" si="198"/>
        <v>28.969953414322852</v>
      </c>
      <c r="D811" s="20">
        <f t="shared" si="201"/>
        <v>0.18027374636396937</v>
      </c>
      <c r="E811" s="20">
        <f t="shared" si="202"/>
        <v>3.924967262442181</v>
      </c>
      <c r="F811" s="20">
        <f t="shared" si="203"/>
        <v>0.15142994694573428</v>
      </c>
      <c r="G811" s="20">
        <f t="shared" si="204"/>
        <v>3.2969725004514321</v>
      </c>
      <c r="I811" s="20">
        <f t="shared" si="199"/>
        <v>-0.95063199624864025</v>
      </c>
      <c r="K811" s="20">
        <f t="shared" si="209"/>
        <v>16.836435894620568</v>
      </c>
      <c r="L811" s="20">
        <f t="shared" si="200"/>
        <v>1.8461616567390149E-2</v>
      </c>
      <c r="M811" s="20">
        <f t="shared" si="205"/>
        <v>0.40195115539712933</v>
      </c>
      <c r="N811" s="1">
        <f t="shared" si="210"/>
        <v>209.05876158720199</v>
      </c>
      <c r="P811" s="20">
        <f t="shared" si="211"/>
        <v>-23.575254552058784</v>
      </c>
      <c r="Q811" s="20">
        <f t="shared" si="206"/>
        <v>-0.21586322102211009</v>
      </c>
      <c r="R811" s="20">
        <f t="shared" si="207"/>
        <v>-4.6998306340542149</v>
      </c>
      <c r="S811" s="20">
        <f t="shared" si="212"/>
        <v>51.150319546966564</v>
      </c>
      <c r="T811" s="1">
        <f t="shared" si="213"/>
        <v>0</v>
      </c>
    </row>
    <row r="812" spans="1:20" x14ac:dyDescent="0.25">
      <c r="A812" s="20">
        <f t="shared" si="208"/>
        <v>8.0699999999998724</v>
      </c>
      <c r="C812" s="20">
        <f t="shared" si="198"/>
        <v>29.010545813436678</v>
      </c>
      <c r="D812" s="20">
        <f t="shared" si="201"/>
        <v>0.18077929571925691</v>
      </c>
      <c r="E812" s="20">
        <f t="shared" si="202"/>
        <v>3.9359742155292166</v>
      </c>
      <c r="F812" s="20">
        <f t="shared" si="203"/>
        <v>0.15185460840417581</v>
      </c>
      <c r="G812" s="20">
        <f t="shared" si="204"/>
        <v>3.3062183410445418</v>
      </c>
      <c r="I812" s="20">
        <f t="shared" si="199"/>
        <v>-0.95146076199386009</v>
      </c>
      <c r="K812" s="20">
        <f t="shared" si="209"/>
        <v>16.840455406174538</v>
      </c>
      <c r="L812" s="20">
        <f t="shared" si="200"/>
        <v>1.8708448059101573E-2</v>
      </c>
      <c r="M812" s="20">
        <f t="shared" si="205"/>
        <v>0.40732523533859294</v>
      </c>
      <c r="N812" s="1">
        <f t="shared" si="210"/>
        <v>209.22714604370597</v>
      </c>
      <c r="P812" s="20">
        <f t="shared" si="211"/>
        <v>-23.622252858399325</v>
      </c>
      <c r="Q812" s="20">
        <f t="shared" si="206"/>
        <v>-0.21522043763041673</v>
      </c>
      <c r="R812" s="20">
        <f t="shared" si="207"/>
        <v>-4.6858357855522916</v>
      </c>
      <c r="S812" s="20">
        <f t="shared" si="212"/>
        <v>50.914332009914268</v>
      </c>
      <c r="T812" s="1">
        <f t="shared" si="213"/>
        <v>0</v>
      </c>
    </row>
    <row r="813" spans="1:20" x14ac:dyDescent="0.25">
      <c r="A813" s="20">
        <f t="shared" si="208"/>
        <v>8.0799999999998722</v>
      </c>
      <c r="C813" s="20">
        <f t="shared" ref="C813:C876" si="214">SQRT((K813^2)+(P813^2))</f>
        <v>29.051075220986394</v>
      </c>
      <c r="D813" s="20">
        <f t="shared" si="201"/>
        <v>0.18128476678729832</v>
      </c>
      <c r="E813" s="20">
        <f t="shared" si="202"/>
        <v>3.9469794641258074</v>
      </c>
      <c r="F813" s="20">
        <f t="shared" si="203"/>
        <v>0.15227920410133058</v>
      </c>
      <c r="G813" s="20">
        <f t="shared" si="204"/>
        <v>3.3154627498656781</v>
      </c>
      <c r="I813" s="20">
        <f t="shared" ref="I813:I876" si="215">ATAN(P813/K813)</f>
        <v>-0.95228291078807381</v>
      </c>
      <c r="K813" s="20">
        <f t="shared" si="209"/>
        <v>16.844528658527924</v>
      </c>
      <c r="L813" s="20">
        <f t="shared" ref="L813:L876" si="216">-(D813*COS(I813))-(F813*SIN(I813))</f>
        <v>1.8954787872917531E-2</v>
      </c>
      <c r="M813" s="20">
        <f t="shared" si="205"/>
        <v>0.41268861034002896</v>
      </c>
      <c r="N813" s="1">
        <f t="shared" si="210"/>
        <v>209.39557096402947</v>
      </c>
      <c r="P813" s="20">
        <f t="shared" si="211"/>
        <v>-23.669111216254848</v>
      </c>
      <c r="Q813" s="20">
        <f t="shared" si="206"/>
        <v>-0.21457787909621945</v>
      </c>
      <c r="R813" s="20">
        <f t="shared" si="207"/>
        <v>-4.6718458327067154</v>
      </c>
      <c r="S813" s="20">
        <f t="shared" si="212"/>
        <v>50.677875189540998</v>
      </c>
      <c r="T813" s="1">
        <f t="shared" si="213"/>
        <v>0</v>
      </c>
    </row>
    <row r="814" spans="1:20" x14ac:dyDescent="0.25">
      <c r="A814" s="20">
        <f t="shared" si="208"/>
        <v>8.089999999999872</v>
      </c>
      <c r="C814" s="20">
        <f t="shared" si="214"/>
        <v>29.091541224476504</v>
      </c>
      <c r="D814" s="20">
        <f t="shared" si="201"/>
        <v>0.18179015112246674</v>
      </c>
      <c r="E814" s="20">
        <f t="shared" si="202"/>
        <v>3.9579828243515514</v>
      </c>
      <c r="F814" s="20">
        <f t="shared" si="203"/>
        <v>0.15270372694287204</v>
      </c>
      <c r="G814" s="20">
        <f t="shared" si="204"/>
        <v>3.3247055724553025</v>
      </c>
      <c r="I814" s="20">
        <f t="shared" si="215"/>
        <v>-0.95309848017290955</v>
      </c>
      <c r="K814" s="20">
        <f t="shared" si="209"/>
        <v>16.848655544631324</v>
      </c>
      <c r="L814" s="20">
        <f t="shared" si="216"/>
        <v>1.9200630756274206E-2</v>
      </c>
      <c r="M814" s="20">
        <f t="shared" si="205"/>
        <v>0.41804116604124114</v>
      </c>
      <c r="N814" s="1">
        <f t="shared" si="210"/>
        <v>209.56403688504525</v>
      </c>
      <c r="P814" s="20">
        <f t="shared" si="211"/>
        <v>-23.715829674581915</v>
      </c>
      <c r="Q814" s="20">
        <f t="shared" si="206"/>
        <v>-0.21393555354788868</v>
      </c>
      <c r="R814" s="20">
        <f t="shared" si="207"/>
        <v>-4.6578609524905001</v>
      </c>
      <c r="S814" s="20">
        <f t="shared" si="212"/>
        <v>50.440950485086816</v>
      </c>
      <c r="T814" s="1">
        <f t="shared" si="213"/>
        <v>0</v>
      </c>
    </row>
    <row r="815" spans="1:20" x14ac:dyDescent="0.25">
      <c r="A815" s="20">
        <f t="shared" si="208"/>
        <v>8.0999999999998717</v>
      </c>
      <c r="C815" s="20">
        <f t="shared" si="214"/>
        <v>29.131943416639199</v>
      </c>
      <c r="D815" s="20">
        <f t="shared" si="201"/>
        <v>0.18229544032103556</v>
      </c>
      <c r="E815" s="20">
        <f t="shared" si="202"/>
        <v>3.9689841132383097</v>
      </c>
      <c r="F815" s="20">
        <f t="shared" si="203"/>
        <v>0.15312816986966987</v>
      </c>
      <c r="G815" s="20">
        <f t="shared" si="204"/>
        <v>3.3339466551201804</v>
      </c>
      <c r="I815" s="20">
        <f t="shared" si="215"/>
        <v>-0.95390750748527398</v>
      </c>
      <c r="K815" s="20">
        <f t="shared" si="209"/>
        <v>16.852835956291738</v>
      </c>
      <c r="L815" s="20">
        <f t="shared" si="216"/>
        <v>1.9445971483221136E-2</v>
      </c>
      <c r="M815" s="20">
        <f t="shared" si="205"/>
        <v>0.42338278866146606</v>
      </c>
      <c r="N815" s="1">
        <f t="shared" si="210"/>
        <v>209.73254434254989</v>
      </c>
      <c r="P815" s="20">
        <f t="shared" si="211"/>
        <v>-23.762408284106819</v>
      </c>
      <c r="Q815" s="20">
        <f t="shared" si="206"/>
        <v>-0.21329346907763008</v>
      </c>
      <c r="R815" s="20">
        <f t="shared" si="207"/>
        <v>-4.6438813210892684</v>
      </c>
      <c r="S815" s="20">
        <f t="shared" si="212"/>
        <v>50.203559295293374</v>
      </c>
      <c r="T815" s="1">
        <f t="shared" si="213"/>
        <v>0</v>
      </c>
    </row>
    <row r="816" spans="1:20" x14ac:dyDescent="0.25">
      <c r="A816" s="20">
        <f t="shared" si="208"/>
        <v>8.1099999999998715</v>
      </c>
      <c r="C816" s="20">
        <f t="shared" si="214"/>
        <v>29.172281395395061</v>
      </c>
      <c r="D816" s="20">
        <f t="shared" si="201"/>
        <v>0.18280062602125158</v>
      </c>
      <c r="E816" s="20">
        <f t="shared" si="202"/>
        <v>3.9799831487318</v>
      </c>
      <c r="F816" s="20">
        <f t="shared" si="203"/>
        <v>0.15355252585785131</v>
      </c>
      <c r="G816" s="20">
        <f t="shared" si="204"/>
        <v>3.343185844934712</v>
      </c>
      <c r="I816" s="20">
        <f t="shared" si="215"/>
        <v>-0.95471002985820197</v>
      </c>
      <c r="K816" s="20">
        <f t="shared" si="209"/>
        <v>16.857069784178353</v>
      </c>
      <c r="L816" s="20">
        <f t="shared" si="216"/>
        <v>1.9690804854756896E-2</v>
      </c>
      <c r="M816" s="20">
        <f t="shared" si="205"/>
        <v>0.42871336500668183</v>
      </c>
      <c r="N816" s="1">
        <f t="shared" si="210"/>
        <v>209.90109387125224</v>
      </c>
      <c r="P816" s="20">
        <f t="shared" si="211"/>
        <v>-23.808847097317713</v>
      </c>
      <c r="Q816" s="20">
        <f t="shared" si="206"/>
        <v>-0.21265163374141932</v>
      </c>
      <c r="R816" s="20">
        <f t="shared" si="207"/>
        <v>-4.6299071138998329</v>
      </c>
      <c r="S816" s="20">
        <f t="shared" si="212"/>
        <v>49.96570301838625</v>
      </c>
      <c r="T816" s="1">
        <f t="shared" si="213"/>
        <v>0</v>
      </c>
    </row>
    <row r="817" spans="1:20" x14ac:dyDescent="0.25">
      <c r="A817" s="20">
        <f t="shared" si="208"/>
        <v>8.1199999999998713</v>
      </c>
      <c r="C817" s="20">
        <f t="shared" si="214"/>
        <v>29.212554763814055</v>
      </c>
      <c r="D817" s="20">
        <f t="shared" si="201"/>
        <v>0.18330569990340642</v>
      </c>
      <c r="E817" s="20">
        <f t="shared" si="202"/>
        <v>3.9909797496931509</v>
      </c>
      <c r="F817" s="20">
        <f t="shared" si="203"/>
        <v>0.15397678791886141</v>
      </c>
      <c r="G817" s="20">
        <f t="shared" si="204"/>
        <v>3.3524229897422471</v>
      </c>
      <c r="I817" s="20">
        <f t="shared" si="215"/>
        <v>-0.95550608422171479</v>
      </c>
      <c r="K817" s="20">
        <f t="shared" si="209"/>
        <v>16.86135691782842</v>
      </c>
      <c r="L817" s="20">
        <f t="shared" si="216"/>
        <v>1.9935125699159603E-2</v>
      </c>
      <c r="M817" s="20">
        <f t="shared" si="205"/>
        <v>0.43403278247680394</v>
      </c>
      <c r="N817" s="1">
        <f t="shared" si="210"/>
        <v>210.06968600476227</v>
      </c>
      <c r="P817" s="20">
        <f t="shared" si="211"/>
        <v>-23.855146168456713</v>
      </c>
      <c r="Q817" s="20">
        <f t="shared" si="206"/>
        <v>-0.21201005555893693</v>
      </c>
      <c r="R817" s="20">
        <f t="shared" si="207"/>
        <v>-4.6159385055287814</v>
      </c>
      <c r="S817" s="20">
        <f t="shared" si="212"/>
        <v>49.727383052057384</v>
      </c>
      <c r="T817" s="1">
        <f t="shared" si="213"/>
        <v>0</v>
      </c>
    </row>
    <row r="818" spans="1:20" x14ac:dyDescent="0.25">
      <c r="A818" s="20">
        <f t="shared" si="208"/>
        <v>8.1299999999998711</v>
      </c>
      <c r="C818" s="20">
        <f t="shared" si="214"/>
        <v>29.25276313007674</v>
      </c>
      <c r="D818" s="20">
        <f t="shared" si="201"/>
        <v>0.18381065368990501</v>
      </c>
      <c r="E818" s="20">
        <f t="shared" si="202"/>
        <v>4.0019737359003926</v>
      </c>
      <c r="F818" s="20">
        <f t="shared" si="203"/>
        <v>0.15440094909952021</v>
      </c>
      <c r="G818" s="20">
        <f t="shared" si="204"/>
        <v>3.3616579381563296</v>
      </c>
      <c r="I818" s="20">
        <f t="shared" si="215"/>
        <v>-0.95629570730368396</v>
      </c>
      <c r="K818" s="20">
        <f t="shared" si="209"/>
        <v>16.865697245653188</v>
      </c>
      <c r="L818" s="20">
        <f t="shared" si="216"/>
        <v>2.0178928872309737E-2</v>
      </c>
      <c r="M818" s="20">
        <f t="shared" si="205"/>
        <v>0.43934092907271366</v>
      </c>
      <c r="N818" s="1">
        <f t="shared" si="210"/>
        <v>210.23832127557969</v>
      </c>
      <c r="P818" s="20">
        <f t="shared" si="211"/>
        <v>-23.901305553512</v>
      </c>
      <c r="Q818" s="20">
        <f t="shared" si="206"/>
        <v>-0.21136874251350668</v>
      </c>
      <c r="R818" s="20">
        <f t="shared" si="207"/>
        <v>-4.6019756697911323</v>
      </c>
      <c r="S818" s="20">
        <f t="shared" si="212"/>
        <v>49.488600793447539</v>
      </c>
      <c r="T818" s="1">
        <f t="shared" si="213"/>
        <v>0</v>
      </c>
    </row>
    <row r="819" spans="1:20" x14ac:dyDescent="0.25">
      <c r="A819" s="20">
        <f t="shared" si="208"/>
        <v>8.1399999999998709</v>
      </c>
      <c r="C819" s="20">
        <f t="shared" si="214"/>
        <v>29.292906107435741</v>
      </c>
      <c r="D819" s="20">
        <f t="shared" si="201"/>
        <v>0.18431547914533186</v>
      </c>
      <c r="E819" s="20">
        <f t="shared" si="202"/>
        <v>4.0129649280498993</v>
      </c>
      <c r="F819" s="20">
        <f t="shared" si="203"/>
        <v>0.15482500248207876</v>
      </c>
      <c r="G819" s="20">
        <f t="shared" si="204"/>
        <v>3.3708905395619149</v>
      </c>
      <c r="I819" s="20">
        <f t="shared" si="215"/>
        <v>-0.95707893563070268</v>
      </c>
      <c r="K819" s="20">
        <f t="shared" si="209"/>
        <v>16.870090654943915</v>
      </c>
      <c r="L819" s="20">
        <f t="shared" si="216"/>
        <v>2.0422209258007695E-2</v>
      </c>
      <c r="M819" s="20">
        <f t="shared" si="205"/>
        <v>0.44463769340317211</v>
      </c>
      <c r="N819" s="1">
        <f t="shared" si="210"/>
        <v>210.40700021508269</v>
      </c>
      <c r="P819" s="20">
        <f t="shared" si="211"/>
        <v>-23.947325310209912</v>
      </c>
      <c r="Q819" s="20">
        <f t="shared" si="206"/>
        <v>-0.21072770255203538</v>
      </c>
      <c r="R819" s="20">
        <f t="shared" si="207"/>
        <v>-4.5880187797090217</v>
      </c>
      <c r="S819" s="20">
        <f t="shared" si="212"/>
        <v>49.249357639128931</v>
      </c>
      <c r="T819" s="1">
        <f t="shared" si="213"/>
        <v>0</v>
      </c>
    </row>
    <row r="820" spans="1:20" x14ac:dyDescent="0.25">
      <c r="A820" s="20">
        <f t="shared" si="208"/>
        <v>8.1499999999998707</v>
      </c>
      <c r="C820" s="20">
        <f t="shared" si="214"/>
        <v>29.332983314177465</v>
      </c>
      <c r="D820" s="20">
        <f t="shared" si="201"/>
        <v>0.18482016807651511</v>
      </c>
      <c r="E820" s="20">
        <f t="shared" si="202"/>
        <v>4.0239531477577861</v>
      </c>
      <c r="F820" s="20">
        <f t="shared" si="203"/>
        <v>0.15524894118427268</v>
      </c>
      <c r="G820" s="20">
        <f t="shared" si="204"/>
        <v>3.3801206441165399</v>
      </c>
      <c r="I820" s="20">
        <f t="shared" si="215"/>
        <v>-0.95785580552896255</v>
      </c>
      <c r="K820" s="20">
        <f t="shared" si="209"/>
        <v>16.874537031877946</v>
      </c>
      <c r="L820" s="20">
        <f t="shared" si="216"/>
        <v>2.066496176828421E-2</v>
      </c>
      <c r="M820" s="20">
        <f t="shared" si="205"/>
        <v>0.44992296469157872</v>
      </c>
      <c r="N820" s="1">
        <f t="shared" si="210"/>
        <v>210.57572335351679</v>
      </c>
      <c r="P820" s="20">
        <f t="shared" si="211"/>
        <v>-23.993205498007001</v>
      </c>
      <c r="Q820" s="20">
        <f t="shared" si="206"/>
        <v>-0.21008694358495428</v>
      </c>
      <c r="R820" s="20">
        <f t="shared" si="207"/>
        <v>-4.5740680075104354</v>
      </c>
      <c r="S820" s="20">
        <f t="shared" si="212"/>
        <v>49.009654985087849</v>
      </c>
      <c r="T820" s="1">
        <f t="shared" si="213"/>
        <v>0</v>
      </c>
    </row>
    <row r="821" spans="1:20" x14ac:dyDescent="0.25">
      <c r="A821" s="20">
        <f t="shared" si="208"/>
        <v>8.1599999999998705</v>
      </c>
      <c r="C821" s="20">
        <f t="shared" si="214"/>
        <v>29.372994373584039</v>
      </c>
      <c r="D821" s="20">
        <f t="shared" si="201"/>
        <v>0.18532471233258768</v>
      </c>
      <c r="E821" s="20">
        <f t="shared" si="202"/>
        <v>4.0349382175612387</v>
      </c>
      <c r="F821" s="20">
        <f t="shared" si="203"/>
        <v>0.15567275835937366</v>
      </c>
      <c r="G821" s="20">
        <f t="shared" si="204"/>
        <v>3.3893481027514407</v>
      </c>
      <c r="I821" s="20">
        <f t="shared" si="215"/>
        <v>-0.95862635312513722</v>
      </c>
      <c r="K821" s="20">
        <f t="shared" si="209"/>
        <v>16.879036261524863</v>
      </c>
      <c r="L821" s="20">
        <f t="shared" si="216"/>
        <v>2.0907181343705172E-2</v>
      </c>
      <c r="M821" s="20">
        <f t="shared" si="205"/>
        <v>0.45519663278260775</v>
      </c>
      <c r="N821" s="1">
        <f t="shared" si="210"/>
        <v>210.74449121998381</v>
      </c>
      <c r="P821" s="20">
        <f t="shared" si="211"/>
        <v>-24.038946178082107</v>
      </c>
      <c r="Q821" s="20">
        <f t="shared" si="206"/>
        <v>-0.20944647348616363</v>
      </c>
      <c r="R821" s="20">
        <f t="shared" si="207"/>
        <v>-4.5601235246279916</v>
      </c>
      <c r="S821" s="20">
        <f t="shared" si="212"/>
        <v>48.769494226707401</v>
      </c>
      <c r="T821" s="1">
        <f t="shared" si="213"/>
        <v>0</v>
      </c>
    </row>
    <row r="822" spans="1:20" x14ac:dyDescent="0.25">
      <c r="A822" s="20">
        <f t="shared" si="208"/>
        <v>8.1699999999998703</v>
      </c>
      <c r="C822" s="20">
        <f t="shared" si="214"/>
        <v>29.412938913895516</v>
      </c>
      <c r="D822" s="20">
        <f t="shared" si="201"/>
        <v>0.18582910380504683</v>
      </c>
      <c r="E822" s="20">
        <f t="shared" si="202"/>
        <v>4.0459199609198091</v>
      </c>
      <c r="F822" s="20">
        <f t="shared" si="203"/>
        <v>0.15609644719623933</v>
      </c>
      <c r="G822" s="20">
        <f t="shared" si="204"/>
        <v>3.3985727671726393</v>
      </c>
      <c r="I822" s="20">
        <f t="shared" si="215"/>
        <v>-0.95939061434727058</v>
      </c>
      <c r="K822" s="20">
        <f t="shared" si="209"/>
        <v>16.883588227852691</v>
      </c>
      <c r="L822" s="20">
        <f t="shared" si="216"/>
        <v>2.1148862953669662E-2</v>
      </c>
      <c r="M822" s="20">
        <f t="shared" si="205"/>
        <v>0.46045858814869717</v>
      </c>
      <c r="N822" s="1">
        <f t="shared" si="210"/>
        <v>210.91330434243071</v>
      </c>
      <c r="P822" s="20">
        <f t="shared" si="211"/>
        <v>-24.084547413328387</v>
      </c>
      <c r="Q822" s="20">
        <f t="shared" si="206"/>
        <v>-0.20880630009297774</v>
      </c>
      <c r="R822" s="20">
        <f t="shared" si="207"/>
        <v>-4.5461855016977522</v>
      </c>
      <c r="S822" s="20">
        <f t="shared" si="212"/>
        <v>48.52887675875035</v>
      </c>
      <c r="T822" s="1">
        <f t="shared" si="213"/>
        <v>0</v>
      </c>
    </row>
    <row r="823" spans="1:20" x14ac:dyDescent="0.25">
      <c r="A823" s="20">
        <f t="shared" si="208"/>
        <v>8.17999999999987</v>
      </c>
      <c r="C823" s="20">
        <f t="shared" si="214"/>
        <v>29.452816568272311</v>
      </c>
      <c r="D823" s="20">
        <f t="shared" si="201"/>
        <v>0.18633333442781047</v>
      </c>
      <c r="E823" s="20">
        <f t="shared" si="202"/>
        <v>4.0568982022166447</v>
      </c>
      <c r="F823" s="20">
        <f t="shared" si="203"/>
        <v>0.1565200009193608</v>
      </c>
      <c r="G823" s="20">
        <f t="shared" si="204"/>
        <v>3.4077944898619816</v>
      </c>
      <c r="I823" s="20">
        <f t="shared" si="215"/>
        <v>-0.96014862492567066</v>
      </c>
      <c r="K823" s="20">
        <f t="shared" si="209"/>
        <v>16.888192813734179</v>
      </c>
      <c r="L823" s="20">
        <f t="shared" si="216"/>
        <v>2.1390001596702332E-2</v>
      </c>
      <c r="M823" s="20">
        <f t="shared" si="205"/>
        <v>0.46570872189641482</v>
      </c>
      <c r="N823" s="1">
        <f t="shared" si="210"/>
        <v>211.08216324763865</v>
      </c>
      <c r="P823" s="20">
        <f t="shared" si="211"/>
        <v>-24.130009268345365</v>
      </c>
      <c r="Q823" s="20">
        <f t="shared" si="206"/>
        <v>-0.20816643120607325</v>
      </c>
      <c r="R823" s="20">
        <f t="shared" si="207"/>
        <v>-4.5322541085580941</v>
      </c>
      <c r="S823" s="20">
        <f t="shared" si="212"/>
        <v>48.287803975341987</v>
      </c>
      <c r="T823" s="1">
        <f t="shared" si="213"/>
        <v>0</v>
      </c>
    </row>
    <row r="824" spans="1:20" x14ac:dyDescent="0.25">
      <c r="A824" s="20">
        <f t="shared" si="208"/>
        <v>8.1899999999998698</v>
      </c>
      <c r="C824" s="20">
        <f t="shared" si="214"/>
        <v>29.492626974757883</v>
      </c>
      <c r="D824" s="20">
        <f t="shared" si="201"/>
        <v>0.18683739617727199</v>
      </c>
      <c r="E824" s="20">
        <f t="shared" si="202"/>
        <v>4.0678727667596775</v>
      </c>
      <c r="F824" s="20">
        <f t="shared" si="203"/>
        <v>0.15694341278890847</v>
      </c>
      <c r="G824" s="20">
        <f t="shared" si="204"/>
        <v>3.4170131240781294</v>
      </c>
      <c r="I824" s="20">
        <f t="shared" si="215"/>
        <v>-0.96090042039380874</v>
      </c>
      <c r="K824" s="20">
        <f t="shared" si="209"/>
        <v>16.892849900953141</v>
      </c>
      <c r="L824" s="20">
        <f t="shared" si="216"/>
        <v>2.1630592300739451E-2</v>
      </c>
      <c r="M824" s="20">
        <f t="shared" si="205"/>
        <v>0.47094692577268565</v>
      </c>
      <c r="N824" s="1">
        <f t="shared" si="210"/>
        <v>211.2510684612121</v>
      </c>
      <c r="P824" s="20">
        <f t="shared" si="211"/>
        <v>-24.175331809430947</v>
      </c>
      <c r="Q824" s="20">
        <f t="shared" si="206"/>
        <v>-0.20752687458943817</v>
      </c>
      <c r="R824" s="20">
        <f t="shared" si="207"/>
        <v>-4.5183295142485997</v>
      </c>
      <c r="S824" s="20">
        <f t="shared" si="212"/>
        <v>48.046277269953109</v>
      </c>
      <c r="T824" s="1">
        <f t="shared" si="213"/>
        <v>0</v>
      </c>
    </row>
    <row r="825" spans="1:20" x14ac:dyDescent="0.25">
      <c r="A825" s="20">
        <f t="shared" si="208"/>
        <v>8.1999999999998696</v>
      </c>
      <c r="C825" s="20">
        <f t="shared" si="214"/>
        <v>29.532369776241644</v>
      </c>
      <c r="D825" s="20">
        <f t="shared" si="201"/>
        <v>0.18734128107235201</v>
      </c>
      <c r="E825" s="20">
        <f t="shared" si="202"/>
        <v>4.0788434807827567</v>
      </c>
      <c r="F825" s="20">
        <f t="shared" si="203"/>
        <v>0.15736667610077568</v>
      </c>
      <c r="G825" s="20">
        <f t="shared" si="204"/>
        <v>3.4262285238575152</v>
      </c>
      <c r="I825" s="20">
        <f t="shared" si="215"/>
        <v>-0.96164603608922239</v>
      </c>
      <c r="K825" s="20">
        <f t="shared" si="209"/>
        <v>16.897559370210868</v>
      </c>
      <c r="L825" s="20">
        <f t="shared" si="216"/>
        <v>2.1870630123408938E-2</v>
      </c>
      <c r="M825" s="20">
        <f t="shared" si="205"/>
        <v>0.47617309217088916</v>
      </c>
      <c r="N825" s="1">
        <f t="shared" si="210"/>
        <v>211.42002050756793</v>
      </c>
      <c r="P825" s="20">
        <f t="shared" si="211"/>
        <v>-24.220515104573433</v>
      </c>
      <c r="Q825" s="20">
        <f t="shared" si="206"/>
        <v>-0.206887637970324</v>
      </c>
      <c r="R825" s="20">
        <f t="shared" si="207"/>
        <v>-4.504411887009014</v>
      </c>
      <c r="S825" s="20">
        <f t="shared" si="212"/>
        <v>47.804298035383084</v>
      </c>
      <c r="T825" s="1">
        <f t="shared" si="213"/>
        <v>0</v>
      </c>
    </row>
    <row r="826" spans="1:20" x14ac:dyDescent="0.25">
      <c r="A826" s="20">
        <f t="shared" si="208"/>
        <v>8.2099999999998694</v>
      </c>
      <c r="C826" s="20">
        <f t="shared" si="214"/>
        <v>29.572044620422115</v>
      </c>
      <c r="D826" s="20">
        <f t="shared" si="201"/>
        <v>0.18784498117454823</v>
      </c>
      <c r="E826" s="20">
        <f t="shared" si="202"/>
        <v>4.0898101714467288</v>
      </c>
      <c r="F826" s="20">
        <f t="shared" si="203"/>
        <v>0.15778978418662051</v>
      </c>
      <c r="G826" s="20">
        <f t="shared" si="204"/>
        <v>3.4354405440152518</v>
      </c>
      <c r="I826" s="20">
        <f t="shared" si="215"/>
        <v>-0.96238550715442339</v>
      </c>
      <c r="K826" s="20">
        <f t="shared" si="209"/>
        <v>16.902321101132575</v>
      </c>
      <c r="L826" s="20">
        <f t="shared" si="216"/>
        <v>2.2110110152304449E-2</v>
      </c>
      <c r="M826" s="20">
        <f t="shared" si="205"/>
        <v>0.48138711413682667</v>
      </c>
      <c r="N826" s="1">
        <f t="shared" si="210"/>
        <v>211.58901990992464</v>
      </c>
      <c r="P826" s="20">
        <f t="shared" si="211"/>
        <v>-24.265559223443525</v>
      </c>
      <c r="Q826" s="20">
        <f t="shared" si="206"/>
        <v>-0.20624872903919872</v>
      </c>
      <c r="R826" s="20">
        <f t="shared" si="207"/>
        <v>-4.4905013942782217</v>
      </c>
      <c r="S826" s="20">
        <f t="shared" si="212"/>
        <v>47.561867663743001</v>
      </c>
      <c r="T826" s="1">
        <f t="shared" si="213"/>
        <v>0</v>
      </c>
    </row>
    <row r="827" spans="1:20" x14ac:dyDescent="0.25">
      <c r="A827" s="20">
        <f t="shared" si="208"/>
        <v>8.2199999999998692</v>
      </c>
      <c r="C827" s="20">
        <f t="shared" si="214"/>
        <v>29.611651159770325</v>
      </c>
      <c r="D827" s="20">
        <f t="shared" si="201"/>
        <v>0.188348488587983</v>
      </c>
      <c r="E827" s="20">
        <f t="shared" si="202"/>
        <v>4.1007726668404745</v>
      </c>
      <c r="F827" s="20">
        <f t="shared" si="203"/>
        <v>0.15821273041390571</v>
      </c>
      <c r="G827" s="20">
        <f t="shared" si="204"/>
        <v>3.4446490401459986</v>
      </c>
      <c r="I827" s="20">
        <f t="shared" si="215"/>
        <v>-0.96311886853780881</v>
      </c>
      <c r="K827" s="20">
        <f t="shared" si="209"/>
        <v>16.907134972273944</v>
      </c>
      <c r="L827" s="20">
        <f t="shared" si="216"/>
        <v>2.2349027505253125E-2</v>
      </c>
      <c r="M827" s="20">
        <f t="shared" si="205"/>
        <v>0.48658888537455097</v>
      </c>
      <c r="N827" s="1">
        <f t="shared" si="210"/>
        <v>211.75806719029168</v>
      </c>
      <c r="P827" s="20">
        <f t="shared" si="211"/>
        <v>-24.310464237386306</v>
      </c>
      <c r="Q827" s="20">
        <f t="shared" si="206"/>
        <v>-0.20561015544970199</v>
      </c>
      <c r="R827" s="20">
        <f t="shared" si="207"/>
        <v>-4.476598202693272</v>
      </c>
      <c r="S827" s="20">
        <f t="shared" si="212"/>
        <v>47.318987546438855</v>
      </c>
      <c r="T827" s="1">
        <f t="shared" si="213"/>
        <v>0</v>
      </c>
    </row>
    <row r="828" spans="1:20" x14ac:dyDescent="0.25">
      <c r="A828" s="20">
        <f t="shared" si="208"/>
        <v>8.229999999999869</v>
      </c>
      <c r="C828" s="20">
        <f t="shared" si="214"/>
        <v>29.651189051493429</v>
      </c>
      <c r="D828" s="20">
        <f t="shared" si="201"/>
        <v>0.18885179545944819</v>
      </c>
      <c r="E828" s="20">
        <f t="shared" si="202"/>
        <v>4.1117307959818898</v>
      </c>
      <c r="F828" s="20">
        <f t="shared" si="203"/>
        <v>0.15863550818593647</v>
      </c>
      <c r="G828" s="20">
        <f t="shared" si="204"/>
        <v>3.4538538686247873</v>
      </c>
      <c r="I828" s="20">
        <f t="shared" si="215"/>
        <v>-0.9638461549945776</v>
      </c>
      <c r="K828" s="20">
        <f t="shared" si="209"/>
        <v>16.912000861127691</v>
      </c>
      <c r="L828" s="20">
        <f t="shared" si="216"/>
        <v>2.2587377330578445E-2</v>
      </c>
      <c r="M828" s="20">
        <f t="shared" si="205"/>
        <v>0.49177830025208896</v>
      </c>
      <c r="N828" s="1">
        <f t="shared" si="210"/>
        <v>211.9271628694587</v>
      </c>
      <c r="P828" s="20">
        <f t="shared" si="211"/>
        <v>-24.35523021941324</v>
      </c>
      <c r="Q828" s="20">
        <f t="shared" si="206"/>
        <v>-0.20497192481860235</v>
      </c>
      <c r="R828" s="20">
        <f t="shared" si="207"/>
        <v>-4.4627024780884463</v>
      </c>
      <c r="S828" s="20">
        <f t="shared" si="212"/>
        <v>47.075659074154856</v>
      </c>
      <c r="T828" s="1">
        <f t="shared" si="213"/>
        <v>0</v>
      </c>
    </row>
    <row r="829" spans="1:20" x14ac:dyDescent="0.25">
      <c r="A829" s="20">
        <f t="shared" si="208"/>
        <v>8.2399999999998688</v>
      </c>
      <c r="C829" s="20">
        <f t="shared" si="214"/>
        <v>29.690657957498562</v>
      </c>
      <c r="D829" s="20">
        <f t="shared" si="201"/>
        <v>0.18935489397844796</v>
      </c>
      <c r="E829" s="20">
        <f t="shared" si="202"/>
        <v>4.1226843888188105</v>
      </c>
      <c r="F829" s="20">
        <f t="shared" si="203"/>
        <v>0.15905811094189629</v>
      </c>
      <c r="G829" s="20">
        <f t="shared" si="204"/>
        <v>3.4630548866078006</v>
      </c>
      <c r="I829" s="20">
        <f t="shared" si="215"/>
        <v>-0.96456740108764816</v>
      </c>
      <c r="K829" s="20">
        <f t="shared" si="209"/>
        <v>16.916918644130213</v>
      </c>
      <c r="L829" s="20">
        <f t="shared" si="216"/>
        <v>2.282515480735578E-2</v>
      </c>
      <c r="M829" s="20">
        <f t="shared" si="205"/>
        <v>0.49695525380700589</v>
      </c>
      <c r="N829" s="1">
        <f t="shared" si="210"/>
        <v>212.096307466985</v>
      </c>
      <c r="P829" s="20">
        <f t="shared" si="211"/>
        <v>-24.399857244194123</v>
      </c>
      <c r="Q829" s="20">
        <f t="shared" si="206"/>
        <v>-0.20433404472575639</v>
      </c>
      <c r="R829" s="20">
        <f t="shared" si="207"/>
        <v>-4.4488143854943694</v>
      </c>
      <c r="S829" s="20">
        <f t="shared" si="212"/>
        <v>46.831883636836821</v>
      </c>
      <c r="T829" s="1">
        <f t="shared" si="213"/>
        <v>0</v>
      </c>
    </row>
    <row r="830" spans="1:20" x14ac:dyDescent="0.25">
      <c r="A830" s="20">
        <f t="shared" si="208"/>
        <v>8.2499999999998685</v>
      </c>
      <c r="C830" s="20">
        <f t="shared" si="214"/>
        <v>29.730057544356978</v>
      </c>
      <c r="D830" s="20">
        <f t="shared" si="201"/>
        <v>0.18985777637723991</v>
      </c>
      <c r="E830" s="20">
        <f t="shared" si="202"/>
        <v>4.1336332762299133</v>
      </c>
      <c r="F830" s="20">
        <f t="shared" si="203"/>
        <v>0.15948053215688152</v>
      </c>
      <c r="G830" s="20">
        <f t="shared" si="204"/>
        <v>3.472251952033127</v>
      </c>
      <c r="I830" s="20">
        <f t="shared" si="215"/>
        <v>-0.96528264118858143</v>
      </c>
      <c r="K830" s="20">
        <f t="shared" si="209"/>
        <v>16.921888196668284</v>
      </c>
      <c r="L830" s="20">
        <f t="shared" si="216"/>
        <v>2.3062355145663585E-2</v>
      </c>
      <c r="M830" s="20">
        <f t="shared" si="205"/>
        <v>0.50211964175187429</v>
      </c>
      <c r="N830" s="1">
        <f t="shared" si="210"/>
        <v>212.26550150118899</v>
      </c>
      <c r="P830" s="20">
        <f t="shared" si="211"/>
        <v>-24.444345388049069</v>
      </c>
      <c r="Q830" s="20">
        <f t="shared" si="206"/>
        <v>-0.20369652271406846</v>
      </c>
      <c r="R830" s="20">
        <f t="shared" si="207"/>
        <v>-4.4349340891371316</v>
      </c>
      <c r="S830" s="20">
        <f t="shared" si="212"/>
        <v>46.587662623675605</v>
      </c>
      <c r="T830" s="1">
        <f t="shared" si="213"/>
        <v>0</v>
      </c>
    </row>
    <row r="831" spans="1:20" x14ac:dyDescent="0.25">
      <c r="A831" s="20">
        <f t="shared" si="208"/>
        <v>8.2599999999998683</v>
      </c>
      <c r="C831" s="20">
        <f t="shared" si="214"/>
        <v>29.769387483268307</v>
      </c>
      <c r="D831" s="20">
        <f t="shared" si="201"/>
        <v>0.19036043493087235</v>
      </c>
      <c r="E831" s="20">
        <f t="shared" si="202"/>
        <v>4.1445772900255244</v>
      </c>
      <c r="F831" s="20">
        <f t="shared" si="203"/>
        <v>0.15990276534193276</v>
      </c>
      <c r="G831" s="20">
        <f t="shared" si="204"/>
        <v>3.4814449236214404</v>
      </c>
      <c r="I831" s="20">
        <f t="shared" si="215"/>
        <v>-0.965991909478505</v>
      </c>
      <c r="K831" s="20">
        <f t="shared" si="209"/>
        <v>16.926909393085804</v>
      </c>
      <c r="L831" s="20">
        <f t="shared" si="216"/>
        <v>2.329897358682767E-2</v>
      </c>
      <c r="M831" s="20">
        <f t="shared" si="205"/>
        <v>0.5072713604795922</v>
      </c>
      <c r="N831" s="1">
        <f t="shared" si="210"/>
        <v>212.43474548913775</v>
      </c>
      <c r="P831" s="20">
        <f t="shared" si="211"/>
        <v>-24.488694728940441</v>
      </c>
      <c r="Q831" s="20">
        <f t="shared" si="206"/>
        <v>-0.20305936628945431</v>
      </c>
      <c r="R831" s="20">
        <f t="shared" si="207"/>
        <v>-4.4210617524374989</v>
      </c>
      <c r="S831" s="20">
        <f t="shared" si="212"/>
        <v>46.342997423090658</v>
      </c>
      <c r="T831" s="1">
        <f t="shared" si="213"/>
        <v>0</v>
      </c>
    </row>
    <row r="832" spans="1:20" x14ac:dyDescent="0.25">
      <c r="A832" s="20">
        <f t="shared" si="208"/>
        <v>8.2699999999998681</v>
      </c>
      <c r="C832" s="20">
        <f t="shared" si="214"/>
        <v>29.80864745002518</v>
      </c>
      <c r="D832" s="20">
        <f t="shared" si="201"/>
        <v>0.19086286195722116</v>
      </c>
      <c r="E832" s="20">
        <f t="shared" si="202"/>
        <v>4.1555162629484252</v>
      </c>
      <c r="F832" s="20">
        <f t="shared" si="203"/>
        <v>0.16032480404406577</v>
      </c>
      <c r="G832" s="20">
        <f t="shared" si="204"/>
        <v>3.4906336608766768</v>
      </c>
      <c r="I832" s="20">
        <f t="shared" si="215"/>
        <v>-0.96669523994904172</v>
      </c>
      <c r="K832" s="20">
        <f t="shared" si="209"/>
        <v>16.931982106690601</v>
      </c>
      <c r="L832" s="20">
        <f t="shared" si="216"/>
        <v>2.3535005403660672E-2</v>
      </c>
      <c r="M832" s="20">
        <f t="shared" si="205"/>
        <v>0.51241030706859725</v>
      </c>
      <c r="N832" s="1">
        <f t="shared" si="210"/>
        <v>212.60403994663665</v>
      </c>
      <c r="P832" s="20">
        <f t="shared" si="211"/>
        <v>-24.532905346464815</v>
      </c>
      <c r="Q832" s="20">
        <f t="shared" si="206"/>
        <v>-0.20242258292080434</v>
      </c>
      <c r="R832" s="20">
        <f t="shared" si="207"/>
        <v>-4.4071975380101103</v>
      </c>
      <c r="S832" s="20">
        <f t="shared" si="212"/>
        <v>46.097889422713635</v>
      </c>
      <c r="T832" s="1">
        <f t="shared" si="213"/>
        <v>0</v>
      </c>
    </row>
    <row r="833" spans="1:20" x14ac:dyDescent="0.25">
      <c r="A833" s="20">
        <f t="shared" si="208"/>
        <v>8.2799999999998679</v>
      </c>
      <c r="C833" s="20">
        <f t="shared" si="214"/>
        <v>29.847837124977978</v>
      </c>
      <c r="D833" s="20">
        <f t="shared" si="201"/>
        <v>0.19136504981702307</v>
      </c>
      <c r="E833" s="20">
        <f t="shared" si="202"/>
        <v>4.1664500286745714</v>
      </c>
      <c r="F833" s="20">
        <f t="shared" si="203"/>
        <v>0.16074664184629939</v>
      </c>
      <c r="G833" s="20">
        <f t="shared" si="204"/>
        <v>3.4998180240866406</v>
      </c>
      <c r="I833" s="20">
        <f t="shared" si="215"/>
        <v>-0.96739266640323862</v>
      </c>
      <c r="K833" s="20">
        <f t="shared" si="209"/>
        <v>16.937106209761286</v>
      </c>
      <c r="L833" s="20">
        <f t="shared" si="216"/>
        <v>2.3770445900695103E-2</v>
      </c>
      <c r="M833" s="20">
        <f t="shared" si="205"/>
        <v>0.51753637928794038</v>
      </c>
      <c r="N833" s="1">
        <f t="shared" si="210"/>
        <v>212.77338538821888</v>
      </c>
      <c r="P833" s="20">
        <f t="shared" si="211"/>
        <v>-24.576977321844918</v>
      </c>
      <c r="Q833" s="20">
        <f t="shared" si="206"/>
        <v>-0.20178618003995002</v>
      </c>
      <c r="R833" s="20">
        <f t="shared" si="207"/>
        <v>-4.3933416076627481</v>
      </c>
      <c r="S833" s="20">
        <f t="shared" si="212"/>
        <v>45.852340009372085</v>
      </c>
      <c r="T833" s="1">
        <f t="shared" si="213"/>
        <v>0</v>
      </c>
    </row>
    <row r="834" spans="1:20" x14ac:dyDescent="0.25">
      <c r="A834" s="20">
        <f t="shared" si="208"/>
        <v>8.2899999999998677</v>
      </c>
      <c r="C834" s="20">
        <f t="shared" si="214"/>
        <v>29.886956192999872</v>
      </c>
      <c r="D834" s="20">
        <f t="shared" si="201"/>
        <v>0.19186699091390746</v>
      </c>
      <c r="E834" s="20">
        <f t="shared" si="202"/>
        <v>4.1773784218137919</v>
      </c>
      <c r="F834" s="20">
        <f t="shared" si="203"/>
        <v>0.16116827236768227</v>
      </c>
      <c r="G834" s="20">
        <f t="shared" si="204"/>
        <v>3.5089978743235855</v>
      </c>
      <c r="I834" s="20">
        <f t="shared" si="215"/>
        <v>-0.96808422245650028</v>
      </c>
      <c r="K834" s="20">
        <f t="shared" si="209"/>
        <v>16.942281573554165</v>
      </c>
      <c r="L834" s="20">
        <f t="shared" si="216"/>
        <v>2.400529041441142E-2</v>
      </c>
      <c r="M834" s="20">
        <f t="shared" si="205"/>
        <v>0.52264947560225172</v>
      </c>
      <c r="N834" s="1">
        <f t="shared" si="210"/>
        <v>212.94278232713546</v>
      </c>
      <c r="P834" s="20">
        <f t="shared" si="211"/>
        <v>-24.620910737921545</v>
      </c>
      <c r="Q834" s="20">
        <f t="shared" si="206"/>
        <v>-0.20115016504163125</v>
      </c>
      <c r="R834" s="20">
        <f t="shared" si="207"/>
        <v>-4.379494122395629</v>
      </c>
      <c r="S834" s="20">
        <f t="shared" si="212"/>
        <v>45.606350569073257</v>
      </c>
      <c r="T834" s="1">
        <f t="shared" si="213"/>
        <v>0</v>
      </c>
    </row>
    <row r="835" spans="1:20" x14ac:dyDescent="0.25">
      <c r="A835" s="20">
        <f t="shared" si="208"/>
        <v>8.2999999999998675</v>
      </c>
      <c r="C835" s="20">
        <f t="shared" si="214"/>
        <v>29.926004343452057</v>
      </c>
      <c r="D835" s="20">
        <f t="shared" si="201"/>
        <v>0.19236867769442537</v>
      </c>
      <c r="E835" s="20">
        <f t="shared" si="202"/>
        <v>4.1883012779104156</v>
      </c>
      <c r="F835" s="20">
        <f t="shared" si="203"/>
        <v>0.16158968926331732</v>
      </c>
      <c r="G835" s="20">
        <f t="shared" si="204"/>
        <v>3.5181730734447489</v>
      </c>
      <c r="I835" s="20">
        <f t="shared" si="215"/>
        <v>-0.96876994153752205</v>
      </c>
      <c r="K835" s="20">
        <f t="shared" si="209"/>
        <v>16.947508068310189</v>
      </c>
      <c r="L835" s="20">
        <f t="shared" si="216"/>
        <v>2.423953431346014E-2</v>
      </c>
      <c r="M835" s="20">
        <f t="shared" si="205"/>
        <v>0.5277494951765761</v>
      </c>
      <c r="N835" s="1">
        <f t="shared" si="210"/>
        <v>213.11223127534478</v>
      </c>
      <c r="P835" s="20">
        <f t="shared" si="211"/>
        <v>-24.664705679145502</v>
      </c>
      <c r="Q835" s="20">
        <f t="shared" si="206"/>
        <v>-0.20051454528346596</v>
      </c>
      <c r="R835" s="20">
        <f t="shared" si="207"/>
        <v>-4.3656552424007398</v>
      </c>
      <c r="S835" s="20">
        <f t="shared" si="212"/>
        <v>45.359922486987919</v>
      </c>
      <c r="T835" s="1">
        <f t="shared" si="213"/>
        <v>0</v>
      </c>
    </row>
    <row r="836" spans="1:20" x14ac:dyDescent="0.25">
      <c r="A836" s="20">
        <f t="shared" si="208"/>
        <v>8.3099999999998673</v>
      </c>
      <c r="C836" s="20">
        <f t="shared" si="214"/>
        <v>29.96498127014922</v>
      </c>
      <c r="D836" s="20">
        <f t="shared" si="201"/>
        <v>0.19287010264807672</v>
      </c>
      <c r="E836" s="20">
        <f t="shared" si="202"/>
        <v>4.1992184334438649</v>
      </c>
      <c r="F836" s="20">
        <f t="shared" si="203"/>
        <v>0.16201088622438445</v>
      </c>
      <c r="G836" s="20">
        <f t="shared" si="204"/>
        <v>3.5273434840928468</v>
      </c>
      <c r="I836" s="20">
        <f t="shared" si="215"/>
        <v>-0.96944985688922691</v>
      </c>
      <c r="K836" s="20">
        <f t="shared" si="209"/>
        <v>16.952785563261955</v>
      </c>
      <c r="L836" s="20">
        <f t="shared" si="216"/>
        <v>2.447317299887862E-2</v>
      </c>
      <c r="M836" s="20">
        <f t="shared" si="205"/>
        <v>0.53283633788109341</v>
      </c>
      <c r="N836" s="1">
        <f t="shared" si="210"/>
        <v>213.28173274350263</v>
      </c>
      <c r="P836" s="20">
        <f t="shared" si="211"/>
        <v>-24.70836223156951</v>
      </c>
      <c r="Q836" s="20">
        <f t="shared" si="206"/>
        <v>-0.19987932808592096</v>
      </c>
      <c r="R836" s="20">
        <f t="shared" si="207"/>
        <v>-4.3518251270612014</v>
      </c>
      <c r="S836" s="20">
        <f t="shared" si="212"/>
        <v>45.113057147434347</v>
      </c>
      <c r="T836" s="1">
        <f t="shared" si="213"/>
        <v>0</v>
      </c>
    </row>
    <row r="837" spans="1:20" x14ac:dyDescent="0.25">
      <c r="A837" s="20">
        <f t="shared" si="208"/>
        <v>8.3199999999998671</v>
      </c>
      <c r="C837" s="20">
        <f t="shared" si="214"/>
        <v>30.003886671325255</v>
      </c>
      <c r="D837" s="20">
        <f t="shared" ref="D837:D900" si="217">0.5*$W$5*$W$10*$W$9*C837^2</f>
        <v>0.19337125830733518</v>
      </c>
      <c r="E837" s="20">
        <f t="shared" ref="E837:E900" si="218">D837/$W$4</f>
        <v>4.2101297258292005</v>
      </c>
      <c r="F837" s="20">
        <f t="shared" ref="F837:F900" si="219">0.5*$W$6*$W$10*$W$9*C837^2</f>
        <v>0.16243185697816154</v>
      </c>
      <c r="G837" s="20">
        <f t="shared" ref="G837:G900" si="220">F837/$W$4</f>
        <v>3.5365089696965284</v>
      </c>
      <c r="I837" s="20">
        <f t="shared" si="215"/>
        <v>-0.97012400156970202</v>
      </c>
      <c r="K837" s="20">
        <f t="shared" si="209"/>
        <v>16.958113926640767</v>
      </c>
      <c r="L837" s="20">
        <f t="shared" si="216"/>
        <v>2.4706201904302255E-2</v>
      </c>
      <c r="M837" s="20">
        <f t="shared" ref="M837:M900" si="221">L837/$W$4</f>
        <v>0.53790990429571639</v>
      </c>
      <c r="N837" s="1">
        <f t="shared" si="210"/>
        <v>213.45128724095215</v>
      </c>
      <c r="P837" s="20">
        <f t="shared" si="211"/>
        <v>-24.751880482840122</v>
      </c>
      <c r="Q837" s="20">
        <f t="shared" ref="Q837:Q900" si="222">-(D837*SIN(I837))+(F837*COS(I837))-($W$4*9.81)</f>
        <v>-0.19924452073228477</v>
      </c>
      <c r="R837" s="20">
        <f t="shared" ref="R837:R900" si="223">Q837/$W$4</f>
        <v>-4.3380039349506809</v>
      </c>
      <c r="S837" s="20">
        <f t="shared" si="212"/>
        <v>44.865755933862303</v>
      </c>
      <c r="T837" s="1">
        <f t="shared" si="213"/>
        <v>0</v>
      </c>
    </row>
    <row r="838" spans="1:20" x14ac:dyDescent="0.25">
      <c r="A838" s="20">
        <f t="shared" ref="A838:A901" si="224">A837+$W$18</f>
        <v>8.3299999999998668</v>
      </c>
      <c r="C838" s="20">
        <f t="shared" si="214"/>
        <v>30.042720249599171</v>
      </c>
      <c r="D838" s="20">
        <f t="shared" si="217"/>
        <v>0.19387213724767088</v>
      </c>
      <c r="E838" s="20">
        <f t="shared" si="218"/>
        <v>4.2210349934176117</v>
      </c>
      <c r="F838" s="20">
        <f t="shared" si="219"/>
        <v>0.16285259528804355</v>
      </c>
      <c r="G838" s="20">
        <f t="shared" si="220"/>
        <v>3.5456693944707935</v>
      </c>
      <c r="I838" s="20">
        <f t="shared" si="215"/>
        <v>-0.9707924084531383</v>
      </c>
      <c r="K838" s="20">
        <f t="shared" ref="K838:K901" si="225">K837+(M837*$W$18)</f>
        <v>16.963493025683725</v>
      </c>
      <c r="L838" s="20">
        <f t="shared" si="216"/>
        <v>2.4938616496170463E-2</v>
      </c>
      <c r="M838" s="20">
        <f t="shared" si="221"/>
        <v>0.54297009571457577</v>
      </c>
      <c r="N838" s="1">
        <f t="shared" ref="N838:N901" si="226">N837+(K837*$W$18)+(0.5*M837*$W$18^2)</f>
        <v>213.62089527571376</v>
      </c>
      <c r="P838" s="20">
        <f t="shared" ref="P838:P901" si="227">P837+(R837*$W$18)</f>
        <v>-24.795260522189629</v>
      </c>
      <c r="Q838" s="20">
        <f t="shared" si="222"/>
        <v>-0.19861013046864179</v>
      </c>
      <c r="R838" s="20">
        <f t="shared" si="223"/>
        <v>-4.3241918238328285</v>
      </c>
      <c r="S838" s="20">
        <f t="shared" ref="S838:S901" si="228">S837+(P837*$W$18)+(0.5*R837*$W$18^2)</f>
        <v>44.618020228837153</v>
      </c>
      <c r="T838" s="1">
        <f t="shared" si="213"/>
        <v>0</v>
      </c>
    </row>
    <row r="839" spans="1:20" x14ac:dyDescent="0.25">
      <c r="A839" s="20">
        <f t="shared" si="224"/>
        <v>8.3399999999998666</v>
      </c>
      <c r="C839" s="20">
        <f t="shared" si="214"/>
        <v>30.08148171194123</v>
      </c>
      <c r="D839" s="20">
        <f t="shared" si="217"/>
        <v>0.19437273208757078</v>
      </c>
      <c r="E839" s="20">
        <f t="shared" si="218"/>
        <v>4.2319340754968602</v>
      </c>
      <c r="F839" s="20">
        <f t="shared" si="219"/>
        <v>0.16327309495355943</v>
      </c>
      <c r="G839" s="20">
        <f t="shared" si="220"/>
        <v>3.5548246234173622</v>
      </c>
      <c r="I839" s="20">
        <f t="shared" si="215"/>
        <v>-0.97145511023076936</v>
      </c>
      <c r="K839" s="20">
        <f t="shared" si="225"/>
        <v>16.968922726640869</v>
      </c>
      <c r="L839" s="20">
        <f t="shared" si="216"/>
        <v>2.5170412273926981E-2</v>
      </c>
      <c r="M839" s="20">
        <f t="shared" si="221"/>
        <v>0.54801681415038062</v>
      </c>
      <c r="N839" s="1">
        <f t="shared" si="226"/>
        <v>213.7905573544754</v>
      </c>
      <c r="P839" s="20">
        <f t="shared" si="227"/>
        <v>-24.838502440427959</v>
      </c>
      <c r="Q839" s="20">
        <f t="shared" si="222"/>
        <v>-0.19797616450384847</v>
      </c>
      <c r="R839" s="20">
        <f t="shared" si="223"/>
        <v>-4.3103889506607551</v>
      </c>
      <c r="S839" s="20">
        <f t="shared" si="228"/>
        <v>44.369851414024062</v>
      </c>
      <c r="T839" s="1">
        <f t="shared" ref="T839:T902" si="229">IF(AND(S838&gt;0,S839&lt;0),(-1*S838*(N839-N838)/(S839-S838)+N838),0)</f>
        <v>0</v>
      </c>
    </row>
    <row r="840" spans="1:20" x14ac:dyDescent="0.25">
      <c r="A840" s="20">
        <f t="shared" si="224"/>
        <v>8.3499999999998664</v>
      </c>
      <c r="C840" s="20">
        <f t="shared" si="214"/>
        <v>30.120170769639337</v>
      </c>
      <c r="D840" s="20">
        <f t="shared" si="217"/>
        <v>0.19487303548855722</v>
      </c>
      <c r="E840" s="20">
        <f t="shared" si="218"/>
        <v>4.2428268122916881</v>
      </c>
      <c r="F840" s="20">
        <f t="shared" si="219"/>
        <v>0.16369334981038808</v>
      </c>
      <c r="G840" s="20">
        <f t="shared" si="220"/>
        <v>3.5639745223250183</v>
      </c>
      <c r="I840" s="20">
        <f t="shared" si="215"/>
        <v>-0.97211213941181285</v>
      </c>
      <c r="K840" s="20">
        <f t="shared" si="225"/>
        <v>16.974402894782372</v>
      </c>
      <c r="L840" s="20">
        <f t="shared" si="216"/>
        <v>2.5401584770215202E-2</v>
      </c>
      <c r="M840" s="20">
        <f t="shared" si="221"/>
        <v>0.55304996233867199</v>
      </c>
      <c r="N840" s="1">
        <f t="shared" si="226"/>
        <v>213.96027398258252</v>
      </c>
      <c r="P840" s="20">
        <f t="shared" si="227"/>
        <v>-24.881606329934566</v>
      </c>
      <c r="Q840" s="20">
        <f t="shared" si="222"/>
        <v>-0.19734263000951063</v>
      </c>
      <c r="R840" s="20">
        <f t="shared" si="223"/>
        <v>-4.2965954715765431</v>
      </c>
      <c r="S840" s="20">
        <f t="shared" si="228"/>
        <v>44.121250870172247</v>
      </c>
      <c r="T840" s="1">
        <f t="shared" si="229"/>
        <v>0</v>
      </c>
    </row>
    <row r="841" spans="1:20" x14ac:dyDescent="0.25">
      <c r="A841" s="20">
        <f t="shared" si="224"/>
        <v>8.3599999999998662</v>
      </c>
      <c r="C841" s="20">
        <f t="shared" si="214"/>
        <v>30.158787138265613</v>
      </c>
      <c r="D841" s="20">
        <f t="shared" si="217"/>
        <v>0.19537304015520407</v>
      </c>
      <c r="E841" s="20">
        <f t="shared" si="218"/>
        <v>4.2537130449641642</v>
      </c>
      <c r="F841" s="20">
        <f t="shared" si="219"/>
        <v>0.16411335373037142</v>
      </c>
      <c r="G841" s="20">
        <f t="shared" si="220"/>
        <v>3.5731189577698981</v>
      </c>
      <c r="I841" s="20">
        <f t="shared" si="215"/>
        <v>-0.97276352832441126</v>
      </c>
      <c r="K841" s="20">
        <f t="shared" si="225"/>
        <v>16.979933394405759</v>
      </c>
      <c r="L841" s="20">
        <f t="shared" si="216"/>
        <v>2.5632129551067917E-2</v>
      </c>
      <c r="M841" s="20">
        <f t="shared" si="221"/>
        <v>0.55806944374195333</v>
      </c>
      <c r="N841" s="1">
        <f t="shared" si="226"/>
        <v>214.13004566402847</v>
      </c>
      <c r="P841" s="20">
        <f t="shared" si="227"/>
        <v>-24.924572284650331</v>
      </c>
      <c r="Q841" s="20">
        <f t="shared" si="222"/>
        <v>-0.19670953411996295</v>
      </c>
      <c r="R841" s="20">
        <f t="shared" si="223"/>
        <v>-4.2828115419107977</v>
      </c>
      <c r="S841" s="20">
        <f t="shared" si="228"/>
        <v>43.872219977099327</v>
      </c>
      <c r="T841" s="1">
        <f t="shared" si="229"/>
        <v>0</v>
      </c>
    </row>
    <row r="842" spans="1:20" x14ac:dyDescent="0.25">
      <c r="A842" s="20">
        <f t="shared" si="224"/>
        <v>8.369999999999866</v>
      </c>
      <c r="C842" s="20">
        <f t="shared" si="214"/>
        <v>30.197330537643186</v>
      </c>
      <c r="D842" s="20">
        <f t="shared" si="217"/>
        <v>0.19587273883515052</v>
      </c>
      <c r="E842" s="20">
        <f t="shared" si="218"/>
        <v>4.2645926156139895</v>
      </c>
      <c r="F842" s="20">
        <f t="shared" si="219"/>
        <v>0.16453310062152646</v>
      </c>
      <c r="G842" s="20">
        <f t="shared" si="220"/>
        <v>3.5822577971157514</v>
      </c>
      <c r="I842" s="20">
        <f t="shared" si="215"/>
        <v>-0.97340930911657453</v>
      </c>
      <c r="K842" s="20">
        <f t="shared" si="225"/>
        <v>16.985514088843178</v>
      </c>
      <c r="L842" s="20">
        <f t="shared" si="216"/>
        <v>2.5862042216092132E-2</v>
      </c>
      <c r="M842" s="20">
        <f t="shared" si="221"/>
        <v>0.56307516255371504</v>
      </c>
      <c r="N842" s="1">
        <f t="shared" si="226"/>
        <v>214.29987290144473</v>
      </c>
      <c r="P842" s="20">
        <f t="shared" si="227"/>
        <v>-24.96740040006944</v>
      </c>
      <c r="Q842" s="20">
        <f t="shared" si="222"/>
        <v>-0.19607688393224965</v>
      </c>
      <c r="R842" s="20">
        <f t="shared" si="223"/>
        <v>-4.2690373161822261</v>
      </c>
      <c r="S842" s="20">
        <f t="shared" si="228"/>
        <v>43.622760113675731</v>
      </c>
      <c r="T842" s="1">
        <f t="shared" si="229"/>
        <v>0</v>
      </c>
    </row>
    <row r="843" spans="1:20" x14ac:dyDescent="0.25">
      <c r="A843" s="20">
        <f t="shared" si="224"/>
        <v>8.3799999999998658</v>
      </c>
      <c r="C843" s="20">
        <f t="shared" si="214"/>
        <v>30.235800691813242</v>
      </c>
      <c r="D843" s="20">
        <f t="shared" si="217"/>
        <v>0.19637212431911341</v>
      </c>
      <c r="E843" s="20">
        <f t="shared" si="218"/>
        <v>4.275465367278759</v>
      </c>
      <c r="F843" s="20">
        <f t="shared" si="219"/>
        <v>0.16495258442805527</v>
      </c>
      <c r="G843" s="20">
        <f t="shared" si="220"/>
        <v>3.5913909085141578</v>
      </c>
      <c r="I843" s="20">
        <f t="shared" si="215"/>
        <v>-0.97404951375712134</v>
      </c>
      <c r="K843" s="20">
        <f t="shared" si="225"/>
        <v>16.991144840468717</v>
      </c>
      <c r="L843" s="20">
        <f t="shared" si="216"/>
        <v>2.6091318398648339E-2</v>
      </c>
      <c r="M843" s="20">
        <f t="shared" si="221"/>
        <v>0.56806702370233697</v>
      </c>
      <c r="N843" s="1">
        <f t="shared" si="226"/>
        <v>214.46975619609131</v>
      </c>
      <c r="P843" s="20">
        <f t="shared" si="227"/>
        <v>-25.010090773231262</v>
      </c>
      <c r="Q843" s="20">
        <f t="shared" si="222"/>
        <v>-0.19544468650610675</v>
      </c>
      <c r="R843" s="20">
        <f t="shared" si="223"/>
        <v>-4.2552729480972511</v>
      </c>
      <c r="S843" s="20">
        <f t="shared" si="228"/>
        <v>43.372872657809225</v>
      </c>
      <c r="T843" s="1">
        <f t="shared" si="229"/>
        <v>0</v>
      </c>
    </row>
    <row r="844" spans="1:20" x14ac:dyDescent="0.25">
      <c r="A844" s="20">
        <f t="shared" si="224"/>
        <v>8.3899999999998656</v>
      </c>
      <c r="C844" s="20">
        <f t="shared" si="214"/>
        <v>30.274197329002252</v>
      </c>
      <c r="D844" s="20">
        <f t="shared" si="217"/>
        <v>0.19687118944089685</v>
      </c>
      <c r="E844" s="20">
        <f t="shared" si="218"/>
        <v>4.2863311439341789</v>
      </c>
      <c r="F844" s="20">
        <f t="shared" si="219"/>
        <v>0.16537179913035335</v>
      </c>
      <c r="G844" s="20">
        <f t="shared" si="220"/>
        <v>3.6005181609047106</v>
      </c>
      <c r="I844" s="20">
        <f t="shared" si="215"/>
        <v>-0.97468417403662211</v>
      </c>
      <c r="K844" s="20">
        <f t="shared" si="225"/>
        <v>16.99682551070574</v>
      </c>
      <c r="L844" s="20">
        <f t="shared" si="216"/>
        <v>2.6319953766025153E-2</v>
      </c>
      <c r="M844" s="20">
        <f t="shared" si="221"/>
        <v>0.57304493285489122</v>
      </c>
      <c r="N844" s="1">
        <f t="shared" si="226"/>
        <v>214.6396960478472</v>
      </c>
      <c r="P844" s="20">
        <f t="shared" si="227"/>
        <v>-25.052643502712236</v>
      </c>
      <c r="Q844" s="20">
        <f t="shared" si="222"/>
        <v>-0.19481294886394585</v>
      </c>
      <c r="R844" s="20">
        <f t="shared" si="223"/>
        <v>-4.2415185905496591</v>
      </c>
      <c r="S844" s="20">
        <f t="shared" si="228"/>
        <v>43.12255898642951</v>
      </c>
      <c r="T844" s="1">
        <f t="shared" si="229"/>
        <v>0</v>
      </c>
    </row>
    <row r="845" spans="1:20" x14ac:dyDescent="0.25">
      <c r="A845" s="20">
        <f t="shared" si="224"/>
        <v>8.3999999999998654</v>
      </c>
      <c r="C845" s="20">
        <f t="shared" si="214"/>
        <v>30.31252018158942</v>
      </c>
      <c r="D845" s="20">
        <f t="shared" si="217"/>
        <v>0.19736992707739981</v>
      </c>
      <c r="E845" s="20">
        <f t="shared" si="218"/>
        <v>4.297189790494226</v>
      </c>
      <c r="F845" s="20">
        <f t="shared" si="219"/>
        <v>0.16579073874501585</v>
      </c>
      <c r="G845" s="20">
        <f t="shared" si="220"/>
        <v>3.6096394240151501</v>
      </c>
      <c r="I845" s="20">
        <f t="shared" si="215"/>
        <v>-0.97531332156834083</v>
      </c>
      <c r="K845" s="20">
        <f t="shared" si="225"/>
        <v>17.002555960034289</v>
      </c>
      <c r="L845" s="20">
        <f t="shared" si="216"/>
        <v>2.6547944019608374E-2</v>
      </c>
      <c r="M845" s="20">
        <f t="shared" si="221"/>
        <v>0.57800879642082248</v>
      </c>
      <c r="N845" s="1">
        <f t="shared" si="226"/>
        <v>214.80969295520089</v>
      </c>
      <c r="P845" s="20">
        <f t="shared" si="227"/>
        <v>-25.095058688617733</v>
      </c>
      <c r="Q845" s="20">
        <f t="shared" si="222"/>
        <v>-0.19418167799084007</v>
      </c>
      <c r="R845" s="20">
        <f t="shared" si="223"/>
        <v>-4.2277743956202931</v>
      </c>
      <c r="S845" s="20">
        <f t="shared" si="228"/>
        <v>42.871820475472866</v>
      </c>
      <c r="T845" s="1">
        <f t="shared" si="229"/>
        <v>0</v>
      </c>
    </row>
    <row r="846" spans="1:20" x14ac:dyDescent="0.25">
      <c r="A846" s="20">
        <f t="shared" si="224"/>
        <v>8.4099999999998651</v>
      </c>
      <c r="C846" s="20">
        <f t="shared" si="214"/>
        <v>30.350768986074375</v>
      </c>
      <c r="D846" s="20">
        <f t="shared" si="217"/>
        <v>0.19786833014862212</v>
      </c>
      <c r="E846" s="20">
        <f t="shared" si="218"/>
        <v>4.3080411528112812</v>
      </c>
      <c r="F846" s="20">
        <f t="shared" si="219"/>
        <v>0.16620939732484261</v>
      </c>
      <c r="G846" s="20">
        <f t="shared" si="220"/>
        <v>3.6187545683614766</v>
      </c>
      <c r="I846" s="20">
        <f t="shared" si="215"/>
        <v>-0.97593698778917715</v>
      </c>
      <c r="K846" s="20">
        <f t="shared" si="225"/>
        <v>17.008336047998498</v>
      </c>
      <c r="L846" s="20">
        <f t="shared" si="216"/>
        <v>2.6775284895045257E-2</v>
      </c>
      <c r="M846" s="20">
        <f t="shared" si="221"/>
        <v>0.58295852155552486</v>
      </c>
      <c r="N846" s="1">
        <f t="shared" si="226"/>
        <v>214.97974741524104</v>
      </c>
      <c r="P846" s="20">
        <f t="shared" si="227"/>
        <v>-25.137336432573935</v>
      </c>
      <c r="Q846" s="20">
        <f t="shared" si="222"/>
        <v>-0.19355088083451033</v>
      </c>
      <c r="R846" s="20">
        <f t="shared" si="223"/>
        <v>-4.2140405145767543</v>
      </c>
      <c r="S846" s="20">
        <f t="shared" si="228"/>
        <v>42.620658499866906</v>
      </c>
      <c r="T846" s="1">
        <f t="shared" si="229"/>
        <v>0</v>
      </c>
    </row>
    <row r="847" spans="1:20" x14ac:dyDescent="0.25">
      <c r="A847" s="20">
        <f t="shared" si="224"/>
        <v>8.4199999999998649</v>
      </c>
      <c r="C847" s="20">
        <f t="shared" si="214"/>
        <v>30.388943483045036</v>
      </c>
      <c r="D847" s="20">
        <f t="shared" si="217"/>
        <v>0.19836639161766781</v>
      </c>
      <c r="E847" s="20">
        <f t="shared" si="218"/>
        <v>4.3188850776761987</v>
      </c>
      <c r="F847" s="20">
        <f t="shared" si="219"/>
        <v>0.16662776895884096</v>
      </c>
      <c r="G847" s="20">
        <f t="shared" si="220"/>
        <v>3.6278634652480073</v>
      </c>
      <c r="I847" s="20">
        <f t="shared" si="215"/>
        <v>-0.97655520396060835</v>
      </c>
      <c r="K847" s="20">
        <f t="shared" si="225"/>
        <v>17.014165633214052</v>
      </c>
      <c r="L847" s="20">
        <f t="shared" si="216"/>
        <v>2.7001972162403728E-2</v>
      </c>
      <c r="M847" s="20">
        <f t="shared" si="221"/>
        <v>0.58789401616380865</v>
      </c>
      <c r="N847" s="1">
        <f t="shared" si="226"/>
        <v>215.14985992364711</v>
      </c>
      <c r="P847" s="20">
        <f t="shared" si="227"/>
        <v>-25.179476837719704</v>
      </c>
      <c r="Q847" s="20">
        <f t="shared" si="222"/>
        <v>-0.19292056430531423</v>
      </c>
      <c r="R847" s="20">
        <f t="shared" si="223"/>
        <v>-4.2003170978731603</v>
      </c>
      <c r="S847" s="20">
        <f t="shared" si="228"/>
        <v>42.369074433515443</v>
      </c>
      <c r="T847" s="1">
        <f t="shared" si="229"/>
        <v>0</v>
      </c>
    </row>
    <row r="848" spans="1:20" x14ac:dyDescent="0.25">
      <c r="A848" s="20">
        <f t="shared" si="224"/>
        <v>8.4299999999998647</v>
      </c>
      <c r="C848" s="20">
        <f t="shared" si="214"/>
        <v>30.427043417145711</v>
      </c>
      <c r="D848" s="20">
        <f t="shared" si="217"/>
        <v>0.19886410449074643</v>
      </c>
      <c r="E848" s="20">
        <f t="shared" si="218"/>
        <v>4.3297214128183414</v>
      </c>
      <c r="F848" s="20">
        <f t="shared" si="219"/>
        <v>0.167045847772227</v>
      </c>
      <c r="G848" s="20">
        <f t="shared" si="220"/>
        <v>3.6369659867674069</v>
      </c>
      <c r="I848" s="20">
        <f t="shared" si="215"/>
        <v>-0.97716800116962987</v>
      </c>
      <c r="K848" s="20">
        <f t="shared" si="225"/>
        <v>17.020044573375689</v>
      </c>
      <c r="L848" s="20">
        <f t="shared" si="216"/>
        <v>2.7228001626326812E-2</v>
      </c>
      <c r="M848" s="20">
        <f t="shared" si="221"/>
        <v>0.59281518890326179</v>
      </c>
      <c r="N848" s="1">
        <f t="shared" si="226"/>
        <v>215.32003097468007</v>
      </c>
      <c r="P848" s="20">
        <f t="shared" si="227"/>
        <v>-25.221480008698435</v>
      </c>
      <c r="Q848" s="20">
        <f t="shared" si="222"/>
        <v>-0.19229073527623614</v>
      </c>
      <c r="R848" s="20">
        <f t="shared" si="223"/>
        <v>-4.1866042951499267</v>
      </c>
      <c r="S848" s="20">
        <f t="shared" si="228"/>
        <v>42.117069649283351</v>
      </c>
      <c r="T848" s="1">
        <f t="shared" si="229"/>
        <v>0</v>
      </c>
    </row>
    <row r="849" spans="1:20" x14ac:dyDescent="0.25">
      <c r="A849" s="20">
        <f t="shared" si="224"/>
        <v>8.4399999999998645</v>
      </c>
      <c r="C849" s="20">
        <f t="shared" si="214"/>
        <v>30.465068537045418</v>
      </c>
      <c r="D849" s="20">
        <f t="shared" si="217"/>
        <v>0.19936146181717307</v>
      </c>
      <c r="E849" s="20">
        <f t="shared" si="218"/>
        <v>4.3405500069055751</v>
      </c>
      <c r="F849" s="20">
        <f t="shared" si="219"/>
        <v>0.16746362792642538</v>
      </c>
      <c r="G849" s="20">
        <f t="shared" si="220"/>
        <v>3.6460620058006836</v>
      </c>
      <c r="I849" s="20">
        <f t="shared" si="215"/>
        <v>-0.97777541032969639</v>
      </c>
      <c r="K849" s="20">
        <f t="shared" si="225"/>
        <v>17.025972725264722</v>
      </c>
      <c r="L849" s="20">
        <f t="shared" si="216"/>
        <v>2.7453369126181945E-2</v>
      </c>
      <c r="M849" s="20">
        <f t="shared" si="221"/>
        <v>0.59772194918750154</v>
      </c>
      <c r="N849" s="1">
        <f t="shared" si="226"/>
        <v>215.49026106117327</v>
      </c>
      <c r="P849" s="20">
        <f t="shared" si="227"/>
        <v>-25.263346051649936</v>
      </c>
      <c r="Q849" s="20">
        <f t="shared" si="222"/>
        <v>-0.19166140058287778</v>
      </c>
      <c r="R849" s="20">
        <f t="shared" si="223"/>
        <v>-4.1729022552335682</v>
      </c>
      <c r="S849" s="20">
        <f t="shared" si="228"/>
        <v>41.864645518981611</v>
      </c>
      <c r="T849" s="1">
        <f t="shared" si="229"/>
        <v>0</v>
      </c>
    </row>
    <row r="850" spans="1:20" x14ac:dyDescent="0.25">
      <c r="A850" s="20">
        <f t="shared" si="224"/>
        <v>8.4499999999998643</v>
      </c>
      <c r="C850" s="20">
        <f t="shared" si="214"/>
        <v>30.503018595406378</v>
      </c>
      <c r="D850" s="20">
        <f t="shared" si="217"/>
        <v>0.19985845668936528</v>
      </c>
      <c r="E850" s="20">
        <f t="shared" si="218"/>
        <v>4.351370709544204</v>
      </c>
      <c r="F850" s="20">
        <f t="shared" si="219"/>
        <v>0.16788110361906683</v>
      </c>
      <c r="G850" s="20">
        <f t="shared" si="220"/>
        <v>3.6551513960171311</v>
      </c>
      <c r="I850" s="20">
        <f t="shared" si="215"/>
        <v>-0.97837746218166088</v>
      </c>
      <c r="K850" s="20">
        <f t="shared" si="225"/>
        <v>17.031949944756597</v>
      </c>
      <c r="L850" s="20">
        <f t="shared" si="216"/>
        <v>2.7678070536205412E-2</v>
      </c>
      <c r="M850" s="20">
        <f t="shared" si="221"/>
        <v>0.6026142071893188</v>
      </c>
      <c r="N850" s="1">
        <f t="shared" si="226"/>
        <v>215.66055067452336</v>
      </c>
      <c r="P850" s="20">
        <f t="shared" si="227"/>
        <v>-25.305075074202271</v>
      </c>
      <c r="Q850" s="20">
        <f t="shared" si="222"/>
        <v>-0.19103256702345239</v>
      </c>
      <c r="R850" s="20">
        <f t="shared" si="223"/>
        <v>-4.1592111261365643</v>
      </c>
      <c r="S850" s="20">
        <f t="shared" si="228"/>
        <v>41.611803413352348</v>
      </c>
      <c r="T850" s="1">
        <f t="shared" si="229"/>
        <v>0</v>
      </c>
    </row>
    <row r="851" spans="1:20" x14ac:dyDescent="0.25">
      <c r="A851" s="20">
        <f t="shared" si="224"/>
        <v>8.4599999999998641</v>
      </c>
      <c r="C851" s="20">
        <f t="shared" si="214"/>
        <v>30.540893348852755</v>
      </c>
      <c r="D851" s="20">
        <f t="shared" si="217"/>
        <v>0.20035508224283871</v>
      </c>
      <c r="E851" s="20">
        <f t="shared" si="218"/>
        <v>4.3621833712788751</v>
      </c>
      <c r="F851" s="20">
        <f t="shared" si="219"/>
        <v>0.16829826908398451</v>
      </c>
      <c r="G851" s="20">
        <f t="shared" si="220"/>
        <v>3.6642340318742548</v>
      </c>
      <c r="I851" s="20">
        <f t="shared" si="215"/>
        <v>-0.97897418729471353</v>
      </c>
      <c r="K851" s="20">
        <f t="shared" si="225"/>
        <v>17.03797608682849</v>
      </c>
      <c r="L851" s="20">
        <f t="shared" si="216"/>
        <v>2.7902101765642326E-2</v>
      </c>
      <c r="M851" s="20">
        <f t="shared" si="221"/>
        <v>0.60749187384372583</v>
      </c>
      <c r="N851" s="1">
        <f t="shared" si="226"/>
        <v>215.83090030468131</v>
      </c>
      <c r="P851" s="20">
        <f t="shared" si="227"/>
        <v>-25.346667185463637</v>
      </c>
      <c r="Q851" s="20">
        <f t="shared" si="222"/>
        <v>-0.19040424135877793</v>
      </c>
      <c r="R851" s="20">
        <f t="shared" si="223"/>
        <v>-4.1455310550572158</v>
      </c>
      <c r="S851" s="20">
        <f t="shared" si="228"/>
        <v>41.358544702054019</v>
      </c>
      <c r="T851" s="1">
        <f t="shared" si="229"/>
        <v>0</v>
      </c>
    </row>
    <row r="852" spans="1:20" x14ac:dyDescent="0.25">
      <c r="A852" s="20">
        <f t="shared" si="224"/>
        <v>8.4699999999998639</v>
      </c>
      <c r="C852" s="20">
        <f t="shared" si="214"/>
        <v>30.578692557939583</v>
      </c>
      <c r="D852" s="20">
        <f t="shared" si="217"/>
        <v>0.20085133165620067</v>
      </c>
      <c r="E852" s="20">
        <f t="shared" si="218"/>
        <v>4.3729878435924379</v>
      </c>
      <c r="F852" s="20">
        <f t="shared" si="219"/>
        <v>0.16871511859120855</v>
      </c>
      <c r="G852" s="20">
        <f t="shared" si="220"/>
        <v>3.6733097886176478</v>
      </c>
      <c r="I852" s="20">
        <f t="shared" si="215"/>
        <v>-0.97956561606731929</v>
      </c>
      <c r="K852" s="20">
        <f t="shared" si="225"/>
        <v>17.044051005566928</v>
      </c>
      <c r="L852" s="20">
        <f t="shared" si="216"/>
        <v>2.8125458758881422E-2</v>
      </c>
      <c r="M852" s="20">
        <f t="shared" si="221"/>
        <v>0.61235486085089097</v>
      </c>
      <c r="N852" s="1">
        <f t="shared" si="226"/>
        <v>216.0013104401433</v>
      </c>
      <c r="P852" s="20">
        <f t="shared" si="227"/>
        <v>-25.388122496014208</v>
      </c>
      <c r="Q852" s="20">
        <f t="shared" si="222"/>
        <v>-0.1897764303122732</v>
      </c>
      <c r="R852" s="20">
        <f t="shared" si="223"/>
        <v>-4.1318621883795608</v>
      </c>
      <c r="S852" s="20">
        <f t="shared" si="228"/>
        <v>41.10487075364663</v>
      </c>
      <c r="T852" s="1">
        <f t="shared" si="229"/>
        <v>0</v>
      </c>
    </row>
    <row r="853" spans="1:20" x14ac:dyDescent="0.25">
      <c r="A853" s="20">
        <f t="shared" si="224"/>
        <v>8.4799999999998636</v>
      </c>
      <c r="C853" s="20">
        <f t="shared" si="214"/>
        <v>30.616415987121897</v>
      </c>
      <c r="D853" s="20">
        <f t="shared" si="217"/>
        <v>0.20134719815114122</v>
      </c>
      <c r="E853" s="20">
        <f t="shared" si="218"/>
        <v>4.3837839789057531</v>
      </c>
      <c r="F853" s="20">
        <f t="shared" si="219"/>
        <v>0.16913164644695861</v>
      </c>
      <c r="G853" s="20">
        <f t="shared" si="220"/>
        <v>3.6823785422808317</v>
      </c>
      <c r="I853" s="20">
        <f t="shared" si="215"/>
        <v>-0.98015177872815351</v>
      </c>
      <c r="K853" s="20">
        <f t="shared" si="225"/>
        <v>17.050174554175438</v>
      </c>
      <c r="L853" s="20">
        <f t="shared" si="216"/>
        <v>2.834813749558536E-2</v>
      </c>
      <c r="M853" s="20">
        <f t="shared" si="221"/>
        <v>0.61720308067897589</v>
      </c>
      <c r="N853" s="1">
        <f t="shared" si="226"/>
        <v>216.17178156794202</v>
      </c>
      <c r="P853" s="20">
        <f t="shared" si="227"/>
        <v>-25.429441117898005</v>
      </c>
      <c r="Q853" s="20">
        <f t="shared" si="222"/>
        <v>-0.18914914056995552</v>
      </c>
      <c r="R853" s="20">
        <f t="shared" si="223"/>
        <v>-4.1182046716733183</v>
      </c>
      <c r="S853" s="20">
        <f t="shared" si="228"/>
        <v>40.850782935577072</v>
      </c>
      <c r="T853" s="1">
        <f t="shared" si="229"/>
        <v>0</v>
      </c>
    </row>
    <row r="854" spans="1:20" x14ac:dyDescent="0.25">
      <c r="A854" s="20">
        <f t="shared" si="224"/>
        <v>8.4899999999998634</v>
      </c>
      <c r="C854" s="20">
        <f t="shared" si="214"/>
        <v>30.654063404724077</v>
      </c>
      <c r="D854" s="20">
        <f t="shared" si="217"/>
        <v>0.20184267499242284</v>
      </c>
      <c r="E854" s="20">
        <f t="shared" si="218"/>
        <v>4.3945716305774623</v>
      </c>
      <c r="F854" s="20">
        <f t="shared" si="219"/>
        <v>0.1695478469936352</v>
      </c>
      <c r="G854" s="20">
        <f t="shared" si="220"/>
        <v>3.6914401696850687</v>
      </c>
      <c r="I854" s="20">
        <f t="shared" si="215"/>
        <v>-0.98073270533703794</v>
      </c>
      <c r="K854" s="20">
        <f t="shared" si="225"/>
        <v>17.056346584982229</v>
      </c>
      <c r="L854" s="20">
        <f t="shared" si="216"/>
        <v>2.8570133990816496E-2</v>
      </c>
      <c r="M854" s="20">
        <f t="shared" si="221"/>
        <v>0.6220364465668734</v>
      </c>
      <c r="N854" s="1">
        <f t="shared" si="226"/>
        <v>216.34231417363779</v>
      </c>
      <c r="P854" s="20">
        <f t="shared" si="227"/>
        <v>-25.470623164614739</v>
      </c>
      <c r="Q854" s="20">
        <f t="shared" si="222"/>
        <v>-0.18852237878043865</v>
      </c>
      <c r="R854" s="20">
        <f t="shared" si="223"/>
        <v>-4.1045586496938524</v>
      </c>
      <c r="S854" s="20">
        <f t="shared" si="228"/>
        <v>40.596282614164508</v>
      </c>
      <c r="T854" s="1">
        <f t="shared" si="229"/>
        <v>0</v>
      </c>
    </row>
    <row r="855" spans="1:20" x14ac:dyDescent="0.25">
      <c r="A855" s="20">
        <f t="shared" si="224"/>
        <v>8.4999999999998632</v>
      </c>
      <c r="C855" s="20">
        <f t="shared" si="214"/>
        <v>30.691634582909394</v>
      </c>
      <c r="D855" s="20">
        <f t="shared" si="217"/>
        <v>0.20233775548786809</v>
      </c>
      <c r="E855" s="20">
        <f t="shared" si="218"/>
        <v>4.4053506529037252</v>
      </c>
      <c r="F855" s="20">
        <f t="shared" si="219"/>
        <v>0.16996371460980919</v>
      </c>
      <c r="G855" s="20">
        <f t="shared" si="220"/>
        <v>3.7004945484391292</v>
      </c>
      <c r="I855" s="20">
        <f t="shared" si="215"/>
        <v>-0.98130842578587252</v>
      </c>
      <c r="K855" s="20">
        <f t="shared" si="225"/>
        <v>17.062566949447898</v>
      </c>
      <c r="L855" s="20">
        <f t="shared" si="216"/>
        <v>2.879144429515744E-2</v>
      </c>
      <c r="M855" s="20">
        <f t="shared" si="221"/>
        <v>0.62685487252683303</v>
      </c>
      <c r="N855" s="1">
        <f t="shared" si="226"/>
        <v>216.51290874130993</v>
      </c>
      <c r="P855" s="20">
        <f t="shared" si="227"/>
        <v>-25.511668751111678</v>
      </c>
      <c r="Q855" s="20">
        <f t="shared" si="222"/>
        <v>-0.18789615155493294</v>
      </c>
      <c r="R855" s="20">
        <f t="shared" si="223"/>
        <v>-4.0909242663821672</v>
      </c>
      <c r="S855" s="20">
        <f t="shared" si="228"/>
        <v>40.341371154585879</v>
      </c>
      <c r="T855" s="1">
        <f t="shared" si="229"/>
        <v>0</v>
      </c>
    </row>
    <row r="856" spans="1:20" x14ac:dyDescent="0.25">
      <c r="A856" s="20">
        <f t="shared" si="224"/>
        <v>8.509999999999863</v>
      </c>
      <c r="C856" s="20">
        <f t="shared" si="214"/>
        <v>30.729129297649752</v>
      </c>
      <c r="D856" s="20">
        <f t="shared" si="217"/>
        <v>0.20283243298834475</v>
      </c>
      <c r="E856" s="20">
        <f t="shared" si="218"/>
        <v>4.4161209011178917</v>
      </c>
      <c r="F856" s="20">
        <f t="shared" si="219"/>
        <v>0.17037924371020957</v>
      </c>
      <c r="G856" s="20">
        <f t="shared" si="220"/>
        <v>3.7095415569390284</v>
      </c>
      <c r="I856" s="20">
        <f t="shared" si="215"/>
        <v>-0.98187896979956846</v>
      </c>
      <c r="K856" s="20">
        <f t="shared" si="225"/>
        <v>17.068835498173168</v>
      </c>
      <c r="L856" s="20">
        <f t="shared" si="216"/>
        <v>2.9012064494828044E-2</v>
      </c>
      <c r="M856" s="20">
        <f t="shared" si="221"/>
        <v>0.6316582733470073</v>
      </c>
      <c r="N856" s="1">
        <f t="shared" si="226"/>
        <v>216.68356575354804</v>
      </c>
      <c r="P856" s="20">
        <f t="shared" si="227"/>
        <v>-25.5525779937755</v>
      </c>
      <c r="Q856" s="20">
        <f t="shared" si="222"/>
        <v>-0.18727046546724707</v>
      </c>
      <c r="R856" s="20">
        <f t="shared" si="223"/>
        <v>-4.0773016648649483</v>
      </c>
      <c r="S856" s="20">
        <f t="shared" si="228"/>
        <v>40.086049920861441</v>
      </c>
      <c r="T856" s="1">
        <f t="shared" si="229"/>
        <v>0</v>
      </c>
    </row>
    <row r="857" spans="1:20" x14ac:dyDescent="0.25">
      <c r="A857" s="20">
        <f t="shared" si="224"/>
        <v>8.5199999999998628</v>
      </c>
      <c r="C857" s="20">
        <f t="shared" si="214"/>
        <v>30.766547328695644</v>
      </c>
      <c r="D857" s="20">
        <f t="shared" si="217"/>
        <v>0.2033267008877499</v>
      </c>
      <c r="E857" s="20">
        <f t="shared" si="218"/>
        <v>4.4268822313901568</v>
      </c>
      <c r="F857" s="20">
        <f t="shared" si="219"/>
        <v>0.17079442874570991</v>
      </c>
      <c r="G857" s="20">
        <f t="shared" si="220"/>
        <v>3.7185810743677314</v>
      </c>
      <c r="I857" s="20">
        <f t="shared" si="215"/>
        <v>-0.98244436693697745</v>
      </c>
      <c r="K857" s="20">
        <f t="shared" si="225"/>
        <v>17.075152080906637</v>
      </c>
      <c r="L857" s="20">
        <f t="shared" si="216"/>
        <v>2.9231990711796732E-2</v>
      </c>
      <c r="M857" s="20">
        <f t="shared" si="221"/>
        <v>0.63644656459387616</v>
      </c>
      <c r="N857" s="1">
        <f t="shared" si="226"/>
        <v>216.85428569144344</v>
      </c>
      <c r="P857" s="20">
        <f t="shared" si="227"/>
        <v>-25.593351010424151</v>
      </c>
      <c r="Q857" s="20">
        <f t="shared" si="222"/>
        <v>-0.18664532705379006</v>
      </c>
      <c r="R857" s="20">
        <f t="shared" si="223"/>
        <v>-4.0636909874546063</v>
      </c>
      <c r="S857" s="20">
        <f t="shared" si="228"/>
        <v>39.830320275840442</v>
      </c>
      <c r="T857" s="1">
        <f t="shared" si="229"/>
        <v>0</v>
      </c>
    </row>
    <row r="858" spans="1:20" x14ac:dyDescent="0.25">
      <c r="A858" s="20">
        <f t="shared" si="224"/>
        <v>8.5299999999998626</v>
      </c>
      <c r="C858" s="20">
        <f t="shared" si="214"/>
        <v>30.803888459546286</v>
      </c>
      <c r="D858" s="20">
        <f t="shared" si="217"/>
        <v>0.20382055262299129</v>
      </c>
      <c r="E858" s="20">
        <f t="shared" si="218"/>
        <v>4.4376345008271567</v>
      </c>
      <c r="F858" s="20">
        <f t="shared" si="219"/>
        <v>0.1712092642033127</v>
      </c>
      <c r="G858" s="20">
        <f t="shared" si="220"/>
        <v>3.7276129806948117</v>
      </c>
      <c r="I858" s="20">
        <f t="shared" si="215"/>
        <v>-0.98300464659181952</v>
      </c>
      <c r="K858" s="20">
        <f t="shared" si="225"/>
        <v>17.081516546552574</v>
      </c>
      <c r="L858" s="20">
        <f t="shared" si="216"/>
        <v>2.9451219103888163E-2</v>
      </c>
      <c r="M858" s="20">
        <f t="shared" si="221"/>
        <v>0.64121966261459096</v>
      </c>
      <c r="N858" s="1">
        <f t="shared" si="226"/>
        <v>217.02506903458072</v>
      </c>
      <c r="P858" s="20">
        <f t="shared" si="227"/>
        <v>-25.633987920298697</v>
      </c>
      <c r="Q858" s="20">
        <f t="shared" si="222"/>
        <v>-0.18602074281357617</v>
      </c>
      <c r="R858" s="20">
        <f t="shared" si="223"/>
        <v>-4.050092375649383</v>
      </c>
      <c r="S858" s="20">
        <f t="shared" si="228"/>
        <v>39.57418358118683</v>
      </c>
      <c r="T858" s="1">
        <f t="shared" si="229"/>
        <v>0</v>
      </c>
    </row>
    <row r="859" spans="1:20" x14ac:dyDescent="0.25">
      <c r="A859" s="20">
        <f t="shared" si="224"/>
        <v>8.5399999999998624</v>
      </c>
      <c r="C859" s="20">
        <f t="shared" si="214"/>
        <v>30.841152477419968</v>
      </c>
      <c r="D859" s="20">
        <f t="shared" si="217"/>
        <v>0.20431398167396736</v>
      </c>
      <c r="E859" s="20">
        <f t="shared" si="218"/>
        <v>4.44837756747153</v>
      </c>
      <c r="F859" s="20">
        <f t="shared" si="219"/>
        <v>0.17162374460613258</v>
      </c>
      <c r="G859" s="20">
        <f t="shared" si="220"/>
        <v>3.736637156676085</v>
      </c>
      <c r="I859" s="20">
        <f t="shared" si="215"/>
        <v>-0.98355983799360969</v>
      </c>
      <c r="K859" s="20">
        <f t="shared" si="225"/>
        <v>17.087928743178722</v>
      </c>
      <c r="L859" s="20">
        <f t="shared" si="216"/>
        <v>2.9669745864886035E-2</v>
      </c>
      <c r="M859" s="20">
        <f t="shared" si="221"/>
        <v>0.64597748453921267</v>
      </c>
      <c r="N859" s="1">
        <f t="shared" si="226"/>
        <v>217.19591626102937</v>
      </c>
      <c r="P859" s="20">
        <f t="shared" si="227"/>
        <v>-25.67448884405519</v>
      </c>
      <c r="Q859" s="20">
        <f t="shared" si="222"/>
        <v>-0.18539671920822953</v>
      </c>
      <c r="R859" s="20">
        <f t="shared" si="223"/>
        <v>-4.0365059701334536</v>
      </c>
      <c r="S859" s="20">
        <f t="shared" si="228"/>
        <v>39.317641197365056</v>
      </c>
      <c r="T859" s="1">
        <f t="shared" si="229"/>
        <v>0</v>
      </c>
    </row>
    <row r="860" spans="1:20" x14ac:dyDescent="0.25">
      <c r="A860" s="20">
        <f t="shared" si="224"/>
        <v>8.5499999999998622</v>
      </c>
      <c r="C860" s="20">
        <f t="shared" si="214"/>
        <v>30.8783391732246</v>
      </c>
      <c r="D860" s="20">
        <f t="shared" si="217"/>
        <v>0.20480698156354507</v>
      </c>
      <c r="E860" s="20">
        <f t="shared" si="218"/>
        <v>4.4591112903014389</v>
      </c>
      <c r="F860" s="20">
        <f t="shared" si="219"/>
        <v>0.17203786451337785</v>
      </c>
      <c r="G860" s="20">
        <f t="shared" si="220"/>
        <v>3.7456534838532085</v>
      </c>
      <c r="I860" s="20">
        <f t="shared" si="215"/>
        <v>-0.98410997020858149</v>
      </c>
      <c r="K860" s="20">
        <f t="shared" si="225"/>
        <v>17.094388518024115</v>
      </c>
      <c r="L860" s="20">
        <f t="shared" si="216"/>
        <v>2.9887567224631692E-2</v>
      </c>
      <c r="M860" s="20">
        <f t="shared" si="221"/>
        <v>0.65071994828285851</v>
      </c>
      <c r="N860" s="1">
        <f t="shared" si="226"/>
        <v>217.36682784733537</v>
      </c>
      <c r="P860" s="20">
        <f t="shared" si="227"/>
        <v>-25.714853903756524</v>
      </c>
      <c r="Q860" s="20">
        <f t="shared" si="222"/>
        <v>-0.1847732626619914</v>
      </c>
      <c r="R860" s="20">
        <f t="shared" si="223"/>
        <v>-4.0229319107770829</v>
      </c>
      <c r="S860" s="20">
        <f t="shared" si="228"/>
        <v>39.060694483626001</v>
      </c>
      <c r="T860" s="1">
        <f t="shared" si="229"/>
        <v>0</v>
      </c>
    </row>
    <row r="861" spans="1:20" x14ac:dyDescent="0.25">
      <c r="A861" s="20">
        <f t="shared" si="224"/>
        <v>8.5599999999998619</v>
      </c>
      <c r="C861" s="20">
        <f t="shared" si="214"/>
        <v>30.915448341528435</v>
      </c>
      <c r="D861" s="20">
        <f t="shared" si="217"/>
        <v>0.20529954585753585</v>
      </c>
      <c r="E861" s="20">
        <f t="shared" si="218"/>
        <v>4.4698355292300427</v>
      </c>
      <c r="F861" s="20">
        <f t="shared" si="219"/>
        <v>0.17245161852033011</v>
      </c>
      <c r="G861" s="20">
        <f t="shared" si="220"/>
        <v>3.7546618445532358</v>
      </c>
      <c r="I861" s="20">
        <f t="shared" si="215"/>
        <v>-0.98465507214060932</v>
      </c>
      <c r="K861" s="20">
        <f t="shared" si="225"/>
        <v>17.100895717506944</v>
      </c>
      <c r="L861" s="20">
        <f t="shared" si="216"/>
        <v>3.0104679449118418E-2</v>
      </c>
      <c r="M861" s="20">
        <f t="shared" si="221"/>
        <v>0.65544697254775575</v>
      </c>
      <c r="N861" s="1">
        <f t="shared" si="226"/>
        <v>217.53780426851301</v>
      </c>
      <c r="P861" s="20">
        <f t="shared" si="227"/>
        <v>-25.755083222864293</v>
      </c>
      <c r="Q861" s="20">
        <f t="shared" si="222"/>
        <v>-0.18415037956172808</v>
      </c>
      <c r="R861" s="20">
        <f t="shared" si="223"/>
        <v>-4.0093703366367972</v>
      </c>
      <c r="S861" s="20">
        <f t="shared" si="228"/>
        <v>38.803344797992899</v>
      </c>
      <c r="T861" s="1">
        <f t="shared" si="229"/>
        <v>0</v>
      </c>
    </row>
    <row r="862" spans="1:20" x14ac:dyDescent="0.25">
      <c r="A862" s="20">
        <f t="shared" si="224"/>
        <v>8.5699999999998617</v>
      </c>
      <c r="C862" s="20">
        <f t="shared" si="214"/>
        <v>30.952479780531014</v>
      </c>
      <c r="D862" s="20">
        <f t="shared" si="217"/>
        <v>0.20579166816466987</v>
      </c>
      <c r="E862" s="20">
        <f t="shared" si="218"/>
        <v>4.4805501451049397</v>
      </c>
      <c r="F862" s="20">
        <f t="shared" si="219"/>
        <v>0.17286500125832269</v>
      </c>
      <c r="G862" s="20">
        <f t="shared" si="220"/>
        <v>3.763662121888149</v>
      </c>
      <c r="I862" s="20">
        <f t="shared" si="215"/>
        <v>-0.98519517253212707</v>
      </c>
      <c r="K862" s="20">
        <f t="shared" si="225"/>
        <v>17.10745018723242</v>
      </c>
      <c r="L862" s="20">
        <f t="shared" si="216"/>
        <v>3.0321078840580856E-2</v>
      </c>
      <c r="M862" s="20">
        <f t="shared" si="221"/>
        <v>0.66015847682518736</v>
      </c>
      <c r="N862" s="1">
        <f t="shared" si="226"/>
        <v>217.70884599803671</v>
      </c>
      <c r="P862" s="20">
        <f t="shared" si="227"/>
        <v>-25.79517692623066</v>
      </c>
      <c r="Q862" s="20">
        <f t="shared" si="222"/>
        <v>-0.18352807625694034</v>
      </c>
      <c r="R862" s="20">
        <f t="shared" si="223"/>
        <v>-3.9958213859555922</v>
      </c>
      <c r="S862" s="20">
        <f t="shared" si="228"/>
        <v>38.545593497247424</v>
      </c>
      <c r="T862" s="1">
        <f t="shared" si="229"/>
        <v>0</v>
      </c>
    </row>
    <row r="863" spans="1:20" x14ac:dyDescent="0.25">
      <c r="A863" s="20">
        <f t="shared" si="224"/>
        <v>8.5799999999998615</v>
      </c>
      <c r="C863" s="20">
        <f t="shared" si="214"/>
        <v>30.989433292034299</v>
      </c>
      <c r="D863" s="20">
        <f t="shared" si="217"/>
        <v>0.20628334213656863</v>
      </c>
      <c r="E863" s="20">
        <f t="shared" si="218"/>
        <v>4.4912549997075688</v>
      </c>
      <c r="F863" s="20">
        <f t="shared" si="219"/>
        <v>0.17327800739471763</v>
      </c>
      <c r="G863" s="20">
        <f t="shared" si="220"/>
        <v>3.7726541997543572</v>
      </c>
      <c r="I863" s="20">
        <f t="shared" si="215"/>
        <v>-0.98573029996504591</v>
      </c>
      <c r="K863" s="20">
        <f t="shared" si="225"/>
        <v>17.114051772000671</v>
      </c>
      <c r="L863" s="20">
        <f t="shared" si="216"/>
        <v>3.0536761737581214E-2</v>
      </c>
      <c r="M863" s="20">
        <f t="shared" si="221"/>
        <v>0.66485438139737019</v>
      </c>
      <c r="N863" s="1">
        <f t="shared" si="226"/>
        <v>217.87995350783285</v>
      </c>
      <c r="P863" s="20">
        <f t="shared" si="227"/>
        <v>-25.835135140090216</v>
      </c>
      <c r="Q863" s="20">
        <f t="shared" si="222"/>
        <v>-0.18290635905977365</v>
      </c>
      <c r="R863" s="20">
        <f t="shared" si="223"/>
        <v>-3.9822851961631538</v>
      </c>
      <c r="S863" s="20">
        <f t="shared" si="228"/>
        <v>38.287441936915819</v>
      </c>
      <c r="T863" s="1">
        <f t="shared" si="229"/>
        <v>0</v>
      </c>
    </row>
    <row r="864" spans="1:20" x14ac:dyDescent="0.25">
      <c r="A864" s="20">
        <f t="shared" si="224"/>
        <v>8.5899999999998613</v>
      </c>
      <c r="C864" s="20">
        <f t="shared" si="214"/>
        <v>31.026308681413965</v>
      </c>
      <c r="D864" s="20">
        <f t="shared" si="217"/>
        <v>0.20677456146771503</v>
      </c>
      <c r="E864" s="20">
        <f t="shared" si="218"/>
        <v>4.5019499557525586</v>
      </c>
      <c r="F864" s="20">
        <f t="shared" si="219"/>
        <v>0.17369063163288062</v>
      </c>
      <c r="G864" s="20">
        <f t="shared" si="220"/>
        <v>3.7816379628321495</v>
      </c>
      <c r="I864" s="20">
        <f t="shared" si="215"/>
        <v>-0.98626048286166867</v>
      </c>
      <c r="K864" s="20">
        <f t="shared" si="225"/>
        <v>17.120700315814645</v>
      </c>
      <c r="L864" s="20">
        <f t="shared" si="216"/>
        <v>3.0751724515090229E-2</v>
      </c>
      <c r="M864" s="20">
        <f t="shared" si="221"/>
        <v>0.66953460733921688</v>
      </c>
      <c r="N864" s="1">
        <f t="shared" si="226"/>
        <v>218.05112726827193</v>
      </c>
      <c r="P864" s="20">
        <f t="shared" si="227"/>
        <v>-25.874957992051847</v>
      </c>
      <c r="Q864" s="20">
        <f t="shared" si="222"/>
        <v>-0.1822852342450304</v>
      </c>
      <c r="R864" s="20">
        <f t="shared" si="223"/>
        <v>-3.9687619038761248</v>
      </c>
      <c r="S864" s="20">
        <f t="shared" si="228"/>
        <v>38.028891471255108</v>
      </c>
      <c r="T864" s="1">
        <f t="shared" si="229"/>
        <v>0</v>
      </c>
    </row>
    <row r="865" spans="1:20" x14ac:dyDescent="0.25">
      <c r="A865" s="20">
        <f t="shared" si="224"/>
        <v>8.5999999999998611</v>
      </c>
      <c r="C865" s="20">
        <f t="shared" si="214"/>
        <v>31.063105757590932</v>
      </c>
      <c r="D865" s="20">
        <f t="shared" si="217"/>
        <v>0.2072653198954223</v>
      </c>
      <c r="E865" s="20">
        <f t="shared" si="218"/>
        <v>4.5126348768870521</v>
      </c>
      <c r="F865" s="20">
        <f t="shared" si="219"/>
        <v>0.17410286871215472</v>
      </c>
      <c r="G865" s="20">
        <f t="shared" si="220"/>
        <v>3.7906132965851236</v>
      </c>
      <c r="I865" s="20">
        <f t="shared" si="215"/>
        <v>-0.98678574948560194</v>
      </c>
      <c r="K865" s="20">
        <f t="shared" si="225"/>
        <v>17.127395661888038</v>
      </c>
      <c r="L865" s="20">
        <f t="shared" si="216"/>
        <v>3.0965963584564396E-2</v>
      </c>
      <c r="M865" s="20">
        <f t="shared" si="221"/>
        <v>0.67419907652001732</v>
      </c>
      <c r="N865" s="1">
        <f t="shared" si="226"/>
        <v>218.22236774816045</v>
      </c>
      <c r="P865" s="20">
        <f t="shared" si="227"/>
        <v>-25.914645611090609</v>
      </c>
      <c r="Q865" s="20">
        <f t="shared" si="222"/>
        <v>-0.18166470805018342</v>
      </c>
      <c r="R865" s="20">
        <f t="shared" si="223"/>
        <v>-3.9552516448983983</v>
      </c>
      <c r="S865" s="20">
        <f t="shared" si="228"/>
        <v>37.769943453239392</v>
      </c>
      <c r="T865" s="1">
        <f t="shared" si="229"/>
        <v>0</v>
      </c>
    </row>
    <row r="866" spans="1:20" x14ac:dyDescent="0.25">
      <c r="A866" s="20">
        <f t="shared" si="224"/>
        <v>8.6099999999998609</v>
      </c>
      <c r="C866" s="20">
        <f t="shared" si="214"/>
        <v>31.09982433300306</v>
      </c>
      <c r="D866" s="20">
        <f t="shared" si="217"/>
        <v>0.20775561119980096</v>
      </c>
      <c r="E866" s="20">
        <f t="shared" si="218"/>
        <v>4.5233096276899838</v>
      </c>
      <c r="F866" s="20">
        <f t="shared" si="219"/>
        <v>0.17451471340783281</v>
      </c>
      <c r="G866" s="20">
        <f t="shared" si="220"/>
        <v>3.7995800872595868</v>
      </c>
      <c r="I866" s="20">
        <f t="shared" si="215"/>
        <v>-0.98730612794266503</v>
      </c>
      <c r="K866" s="20">
        <f t="shared" si="225"/>
        <v>17.134137652653237</v>
      </c>
      <c r="L866" s="20">
        <f t="shared" si="216"/>
        <v>3.1179475394019149E-2</v>
      </c>
      <c r="M866" s="20">
        <f t="shared" si="221"/>
        <v>0.67884771160503266</v>
      </c>
      <c r="N866" s="1">
        <f t="shared" si="226"/>
        <v>218.39367541473317</v>
      </c>
      <c r="P866" s="20">
        <f t="shared" si="227"/>
        <v>-25.954198127539595</v>
      </c>
      <c r="Q866" s="20">
        <f t="shared" si="222"/>
        <v>-0.1810447866753897</v>
      </c>
      <c r="R866" s="20">
        <f t="shared" si="223"/>
        <v>-3.9417545542214176</v>
      </c>
      <c r="S866" s="20">
        <f t="shared" si="228"/>
        <v>37.510599234546241</v>
      </c>
      <c r="T866" s="1">
        <f t="shared" si="229"/>
        <v>0</v>
      </c>
    </row>
    <row r="867" spans="1:20" x14ac:dyDescent="0.25">
      <c r="A867" s="20">
        <f t="shared" si="224"/>
        <v>8.6199999999998607</v>
      </c>
      <c r="C867" s="20">
        <f t="shared" si="214"/>
        <v>31.136464223577022</v>
      </c>
      <c r="D867" s="20">
        <f t="shared" si="217"/>
        <v>0.20824542920372385</v>
      </c>
      <c r="E867" s="20">
        <f t="shared" si="218"/>
        <v>4.533974073671323</v>
      </c>
      <c r="F867" s="20">
        <f t="shared" si="219"/>
        <v>0.17492616053112803</v>
      </c>
      <c r="G867" s="20">
        <f t="shared" si="220"/>
        <v>3.8085382218839112</v>
      </c>
      <c r="I867" s="20">
        <f t="shared" si="215"/>
        <v>-0.98782164618179746</v>
      </c>
      <c r="K867" s="20">
        <f t="shared" si="225"/>
        <v>17.140926129769287</v>
      </c>
      <c r="L867" s="20">
        <f t="shared" si="216"/>
        <v>3.1392256428097828E-2</v>
      </c>
      <c r="M867" s="20">
        <f t="shared" si="221"/>
        <v>0.68348043605699604</v>
      </c>
      <c r="N867" s="1">
        <f t="shared" si="226"/>
        <v>218.56505073364528</v>
      </c>
      <c r="P867" s="20">
        <f t="shared" si="227"/>
        <v>-25.993615673081809</v>
      </c>
      <c r="Q867" s="20">
        <f t="shared" si="222"/>
        <v>-0.18042547628350641</v>
      </c>
      <c r="R867" s="20">
        <f t="shared" si="223"/>
        <v>-3.9282707660245246</v>
      </c>
      <c r="S867" s="20">
        <f t="shared" si="228"/>
        <v>37.250860165543131</v>
      </c>
      <c r="T867" s="1">
        <f t="shared" si="229"/>
        <v>0</v>
      </c>
    </row>
    <row r="868" spans="1:20" x14ac:dyDescent="0.25">
      <c r="A868" s="20">
        <f t="shared" si="224"/>
        <v>8.6299999999998604</v>
      </c>
      <c r="C868" s="20">
        <f t="shared" si="214"/>
        <v>31.173025248700394</v>
      </c>
      <c r="D868" s="20">
        <f t="shared" si="217"/>
        <v>0.20873476777278935</v>
      </c>
      <c r="E868" s="20">
        <f t="shared" si="218"/>
        <v>4.5446280812712683</v>
      </c>
      <c r="F868" s="20">
        <f t="shared" si="219"/>
        <v>0.17533720492914306</v>
      </c>
      <c r="G868" s="20">
        <f t="shared" si="220"/>
        <v>3.8174875882678658</v>
      </c>
      <c r="I868" s="20">
        <f t="shared" si="215"/>
        <v>-0.98833233199596182</v>
      </c>
      <c r="K868" s="20">
        <f t="shared" si="225"/>
        <v>17.147760934129856</v>
      </c>
      <c r="L868" s="20">
        <f t="shared" si="216"/>
        <v>3.1604303208136481E-2</v>
      </c>
      <c r="M868" s="20">
        <f t="shared" si="221"/>
        <v>0.68809717413752414</v>
      </c>
      <c r="N868" s="1">
        <f t="shared" si="226"/>
        <v>218.73649416896478</v>
      </c>
      <c r="P868" s="20">
        <f t="shared" si="227"/>
        <v>-26.032898380742054</v>
      </c>
      <c r="Q868" s="20">
        <f t="shared" si="222"/>
        <v>-0.17980678300010805</v>
      </c>
      <c r="R868" s="20">
        <f t="shared" si="223"/>
        <v>-3.9148004136753332</v>
      </c>
      <c r="S868" s="20">
        <f t="shared" si="228"/>
        <v>36.990727595274016</v>
      </c>
      <c r="T868" s="1">
        <f t="shared" si="229"/>
        <v>0</v>
      </c>
    </row>
    <row r="869" spans="1:20" x14ac:dyDescent="0.25">
      <c r="A869" s="20">
        <f t="shared" si="224"/>
        <v>8.6399999999998602</v>
      </c>
      <c r="C869" s="20">
        <f t="shared" si="214"/>
        <v>31.209507231193918</v>
      </c>
      <c r="D869" s="20">
        <f t="shared" si="217"/>
        <v>0.20922362081528331</v>
      </c>
      <c r="E869" s="20">
        <f t="shared" si="218"/>
        <v>4.5552715178594232</v>
      </c>
      <c r="F869" s="20">
        <f t="shared" si="219"/>
        <v>0.17574784148483796</v>
      </c>
      <c r="G869" s="20">
        <f t="shared" si="220"/>
        <v>3.8264280750019153</v>
      </c>
      <c r="I869" s="20">
        <f t="shared" si="215"/>
        <v>-0.98883821302304553</v>
      </c>
      <c r="K869" s="20">
        <f t="shared" si="225"/>
        <v>17.15464190587123</v>
      </c>
      <c r="L869" s="20">
        <f t="shared" si="216"/>
        <v>3.1815612292224821E-2</v>
      </c>
      <c r="M869" s="20">
        <f t="shared" si="221"/>
        <v>0.69269785090844371</v>
      </c>
      <c r="N869" s="1">
        <f t="shared" si="226"/>
        <v>218.90800618316479</v>
      </c>
      <c r="P869" s="20">
        <f t="shared" si="227"/>
        <v>-26.072046384878806</v>
      </c>
      <c r="Q869" s="20">
        <f t="shared" si="222"/>
        <v>-0.17918871291350386</v>
      </c>
      <c r="R869" s="20">
        <f t="shared" si="223"/>
        <v>-3.9013436297301078</v>
      </c>
      <c r="S869" s="20">
        <f t="shared" si="228"/>
        <v>36.730202871445911</v>
      </c>
      <c r="T869" s="1">
        <f t="shared" si="229"/>
        <v>0</v>
      </c>
    </row>
    <row r="870" spans="1:20" x14ac:dyDescent="0.25">
      <c r="A870" s="20">
        <f t="shared" si="224"/>
        <v>8.64999999999986</v>
      </c>
      <c r="C870" s="20">
        <f t="shared" si="214"/>
        <v>31.245909997283931</v>
      </c>
      <c r="D870" s="20">
        <f t="shared" si="217"/>
        <v>0.2097119822821385</v>
      </c>
      <c r="E870" s="20">
        <f t="shared" si="218"/>
        <v>4.5659042517339108</v>
      </c>
      <c r="F870" s="20">
        <f t="shared" si="219"/>
        <v>0.17615806511699633</v>
      </c>
      <c r="G870" s="20">
        <f t="shared" si="220"/>
        <v>3.8353595714564848</v>
      </c>
      <c r="I870" s="20">
        <f t="shared" si="215"/>
        <v>-0.98933931674675779</v>
      </c>
      <c r="K870" s="20">
        <f t="shared" si="225"/>
        <v>17.161568884380316</v>
      </c>
      <c r="L870" s="20">
        <f t="shared" si="216"/>
        <v>3.2026180275263175E-2</v>
      </c>
      <c r="M870" s="20">
        <f t="shared" si="221"/>
        <v>0.69728239223303234</v>
      </c>
      <c r="N870" s="1">
        <f t="shared" si="226"/>
        <v>219.07958723711604</v>
      </c>
      <c r="P870" s="20">
        <f t="shared" si="227"/>
        <v>-26.111059821176106</v>
      </c>
      <c r="Q870" s="20">
        <f t="shared" si="222"/>
        <v>-0.17857127207475781</v>
      </c>
      <c r="R870" s="20">
        <f t="shared" si="223"/>
        <v>-3.8879005459342002</v>
      </c>
      <c r="S870" s="20">
        <f t="shared" si="228"/>
        <v>36.469287340415633</v>
      </c>
      <c r="T870" s="1">
        <f t="shared" si="229"/>
        <v>0</v>
      </c>
    </row>
    <row r="871" spans="1:20" x14ac:dyDescent="0.25">
      <c r="A871" s="20">
        <f t="shared" si="224"/>
        <v>8.6599999999998598</v>
      </c>
      <c r="C871" s="20">
        <f t="shared" si="214"/>
        <v>31.282233376575011</v>
      </c>
      <c r="D871" s="20">
        <f t="shared" si="217"/>
        <v>0.210199846166893</v>
      </c>
      <c r="E871" s="20">
        <f t="shared" si="218"/>
        <v>4.5765261521204659</v>
      </c>
      <c r="F871" s="20">
        <f t="shared" si="219"/>
        <v>0.17656787078019012</v>
      </c>
      <c r="G871" s="20">
        <f t="shared" si="220"/>
        <v>3.8442819677811917</v>
      </c>
      <c r="I871" s="20">
        <f t="shared" si="215"/>
        <v>-0.98983567049752563</v>
      </c>
      <c r="K871" s="20">
        <f t="shared" si="225"/>
        <v>17.168541708302644</v>
      </c>
      <c r="L871" s="20">
        <f t="shared" si="216"/>
        <v>3.2236003789015588E-2</v>
      </c>
      <c r="M871" s="20">
        <f t="shared" si="221"/>
        <v>0.7018507247771737</v>
      </c>
      <c r="N871" s="1">
        <f t="shared" si="226"/>
        <v>219.25123779007947</v>
      </c>
      <c r="P871" s="20">
        <f t="shared" si="227"/>
        <v>-26.149938826635449</v>
      </c>
      <c r="Q871" s="20">
        <f t="shared" si="222"/>
        <v>-0.1779544664977088</v>
      </c>
      <c r="R871" s="20">
        <f t="shared" si="223"/>
        <v>-3.8744712932224865</v>
      </c>
      <c r="S871" s="20">
        <f t="shared" si="228"/>
        <v>36.207982347176575</v>
      </c>
      <c r="T871" s="1">
        <f t="shared" si="229"/>
        <v>0</v>
      </c>
    </row>
    <row r="872" spans="1:20" x14ac:dyDescent="0.25">
      <c r="A872" s="20">
        <f t="shared" si="224"/>
        <v>8.6699999999998596</v>
      </c>
      <c r="C872" s="20">
        <f t="shared" si="214"/>
        <v>31.318477202022784</v>
      </c>
      <c r="D872" s="20">
        <f t="shared" si="217"/>
        <v>0.2106872065056466</v>
      </c>
      <c r="E872" s="20">
        <f t="shared" si="218"/>
        <v>4.5871370891714918</v>
      </c>
      <c r="F872" s="20">
        <f t="shared" si="219"/>
        <v>0.17697725346474313</v>
      </c>
      <c r="G872" s="20">
        <f t="shared" si="220"/>
        <v>3.8531951549040526</v>
      </c>
      <c r="I872" s="20">
        <f t="shared" si="215"/>
        <v>-0.99032730145338477</v>
      </c>
      <c r="K872" s="20">
        <f t="shared" si="225"/>
        <v>17.175560215550416</v>
      </c>
      <c r="L872" s="20">
        <f t="shared" si="216"/>
        <v>3.2445079502158775E-2</v>
      </c>
      <c r="M872" s="20">
        <f t="shared" si="221"/>
        <v>0.70640277601042401</v>
      </c>
      <c r="N872" s="1">
        <f t="shared" si="226"/>
        <v>219.42295829969876</v>
      </c>
      <c r="P872" s="20">
        <f t="shared" si="227"/>
        <v>-26.188683539567673</v>
      </c>
      <c r="Q872" s="20">
        <f t="shared" si="222"/>
        <v>-0.17733830215899227</v>
      </c>
      <c r="R872" s="20">
        <f t="shared" si="223"/>
        <v>-3.8610560017198403</v>
      </c>
      <c r="S872" s="20">
        <f t="shared" si="228"/>
        <v>35.94628923534556</v>
      </c>
      <c r="T872" s="1">
        <f t="shared" si="229"/>
        <v>0</v>
      </c>
    </row>
    <row r="873" spans="1:20" x14ac:dyDescent="0.25">
      <c r="A873" s="20">
        <f t="shared" si="224"/>
        <v>8.6799999999998594</v>
      </c>
      <c r="C873" s="20">
        <f t="shared" si="214"/>
        <v>31.354641309906924</v>
      </c>
      <c r="D873" s="20">
        <f t="shared" si="217"/>
        <v>0.21117405737701544</v>
      </c>
      <c r="E873" s="20">
        <f t="shared" si="218"/>
        <v>4.5977369339650656</v>
      </c>
      <c r="F873" s="20">
        <f t="shared" si="219"/>
        <v>0.17738620819669296</v>
      </c>
      <c r="G873" s="20">
        <f t="shared" si="220"/>
        <v>3.8620990245306546</v>
      </c>
      <c r="I873" s="20">
        <f t="shared" si="215"/>
        <v>-0.99081423664086821</v>
      </c>
      <c r="K873" s="20">
        <f t="shared" si="225"/>
        <v>17.182624243310521</v>
      </c>
      <c r="L873" s="20">
        <f t="shared" si="216"/>
        <v>3.2653404120327509E-2</v>
      </c>
      <c r="M873" s="20">
        <f t="shared" si="221"/>
        <v>0.71093847420699996</v>
      </c>
      <c r="N873" s="1">
        <f t="shared" si="226"/>
        <v>219.59474922199308</v>
      </c>
      <c r="P873" s="20">
        <f t="shared" si="227"/>
        <v>-26.227294099584871</v>
      </c>
      <c r="Q873" s="20">
        <f t="shared" si="222"/>
        <v>-0.1767227849980631</v>
      </c>
      <c r="R873" s="20">
        <f t="shared" si="223"/>
        <v>-3.8476548007416307</v>
      </c>
      <c r="S873" s="20">
        <f t="shared" si="228"/>
        <v>35.684209347149796</v>
      </c>
      <c r="T873" s="1">
        <f t="shared" si="229"/>
        <v>0</v>
      </c>
    </row>
    <row r="874" spans="1:20" x14ac:dyDescent="0.25">
      <c r="A874" s="20">
        <f t="shared" si="224"/>
        <v>8.6899999999998592</v>
      </c>
      <c r="C874" s="20">
        <f t="shared" si="214"/>
        <v>31.390725539804308</v>
      </c>
      <c r="D874" s="20">
        <f t="shared" si="217"/>
        <v>0.21166039290208491</v>
      </c>
      <c r="E874" s="20">
        <f t="shared" si="218"/>
        <v>4.6083255585039176</v>
      </c>
      <c r="F874" s="20">
        <f t="shared" si="219"/>
        <v>0.17779473003775134</v>
      </c>
      <c r="G874" s="20">
        <f t="shared" si="220"/>
        <v>3.8709934691432908</v>
      </c>
      <c r="I874" s="20">
        <f t="shared" si="215"/>
        <v>-0.99129650293589244</v>
      </c>
      <c r="K874" s="20">
        <f t="shared" si="225"/>
        <v>17.18973362805259</v>
      </c>
      <c r="L874" s="20">
        <f t="shared" si="216"/>
        <v>3.2860974386156275E-2</v>
      </c>
      <c r="M874" s="20">
        <f t="shared" si="221"/>
        <v>0.71545774844668575</v>
      </c>
      <c r="N874" s="1">
        <f t="shared" si="226"/>
        <v>219.76661101134988</v>
      </c>
      <c r="P874" s="20">
        <f t="shared" si="227"/>
        <v>-26.265770647592287</v>
      </c>
      <c r="Q874" s="20">
        <f t="shared" si="222"/>
        <v>-0.17610792091721988</v>
      </c>
      <c r="R874" s="20">
        <f t="shared" si="223"/>
        <v>-3.8342678187942498</v>
      </c>
      <c r="S874" s="20">
        <f t="shared" si="228"/>
        <v>35.421744023413908</v>
      </c>
      <c r="T874" s="1">
        <f t="shared" si="229"/>
        <v>0</v>
      </c>
    </row>
    <row r="875" spans="1:20" x14ac:dyDescent="0.25">
      <c r="A875" s="20">
        <f t="shared" si="224"/>
        <v>8.699999999999859</v>
      </c>
      <c r="C875" s="20">
        <f t="shared" si="214"/>
        <v>31.426729734562404</v>
      </c>
      <c r="D875" s="20">
        <f t="shared" si="217"/>
        <v>0.21214620724436151</v>
      </c>
      <c r="E875" s="20">
        <f t="shared" si="218"/>
        <v>4.6189028357143807</v>
      </c>
      <c r="F875" s="20">
        <f t="shared" si="219"/>
        <v>0.17820281408526367</v>
      </c>
      <c r="G875" s="20">
        <f t="shared" si="220"/>
        <v>3.8798783820000802</v>
      </c>
      <c r="I875" s="20">
        <f t="shared" si="215"/>
        <v>-0.9917741270646383</v>
      </c>
      <c r="K875" s="20">
        <f t="shared" si="225"/>
        <v>17.196888205537057</v>
      </c>
      <c r="L875" s="20">
        <f t="shared" si="216"/>
        <v>3.3067787079316679E-2</v>
      </c>
      <c r="M875" s="20">
        <f t="shared" si="221"/>
        <v>0.7199605286156473</v>
      </c>
      <c r="N875" s="1">
        <f t="shared" si="226"/>
        <v>219.93854412051783</v>
      </c>
      <c r="P875" s="20">
        <f t="shared" si="227"/>
        <v>-26.304113325780229</v>
      </c>
      <c r="Q875" s="20">
        <f t="shared" si="222"/>
        <v>-0.17549371578162948</v>
      </c>
      <c r="R875" s="20">
        <f t="shared" si="223"/>
        <v>-3.8208951835756473</v>
      </c>
      <c r="S875" s="20">
        <f t="shared" si="228"/>
        <v>35.158894603547047</v>
      </c>
      <c r="T875" s="1">
        <f t="shared" si="229"/>
        <v>0</v>
      </c>
    </row>
    <row r="876" spans="1:20" x14ac:dyDescent="0.25">
      <c r="A876" s="20">
        <f t="shared" si="224"/>
        <v>8.7099999999998587</v>
      </c>
      <c r="C876" s="20">
        <f t="shared" si="214"/>
        <v>31.462653740272756</v>
      </c>
      <c r="D876" s="20">
        <f t="shared" si="217"/>
        <v>0.21263149460972181</v>
      </c>
      <c r="E876" s="20">
        <f t="shared" si="218"/>
        <v>4.6294686394452826</v>
      </c>
      <c r="F876" s="20">
        <f t="shared" si="219"/>
        <v>0.17861045547216631</v>
      </c>
      <c r="G876" s="20">
        <f t="shared" si="220"/>
        <v>3.8887536571340369</v>
      </c>
      <c r="I876" s="20">
        <f t="shared" si="215"/>
        <v>-0.99224713560443045</v>
      </c>
      <c r="K876" s="20">
        <f t="shared" si="225"/>
        <v>17.204087810823214</v>
      </c>
      <c r="L876" s="20">
        <f t="shared" si="216"/>
        <v>3.3273839016551801E-2</v>
      </c>
      <c r="M876" s="20">
        <f t="shared" si="221"/>
        <v>0.72444674540718057</v>
      </c>
      <c r="N876" s="1">
        <f t="shared" si="226"/>
        <v>220.11054900059963</v>
      </c>
      <c r="P876" s="20">
        <f t="shared" si="227"/>
        <v>-26.342322277615985</v>
      </c>
      <c r="Q876" s="20">
        <f t="shared" si="222"/>
        <v>-0.17488017541935424</v>
      </c>
      <c r="R876" s="20">
        <f t="shared" si="223"/>
        <v>-3.8075370219759255</v>
      </c>
      <c r="S876" s="20">
        <f t="shared" si="228"/>
        <v>34.89566242553007</v>
      </c>
      <c r="T876" s="1">
        <f t="shared" si="229"/>
        <v>0</v>
      </c>
    </row>
    <row r="877" spans="1:20" x14ac:dyDescent="0.25">
      <c r="A877" s="20">
        <f t="shared" si="224"/>
        <v>8.7199999999998585</v>
      </c>
      <c r="C877" s="20">
        <f t="shared" ref="C877:C940" si="230">SQRT((K877^2)+(P877^2))</f>
        <v>31.498497406244748</v>
      </c>
      <c r="D877" s="20">
        <f t="shared" si="217"/>
        <v>0.21311624924636138</v>
      </c>
      <c r="E877" s="20">
        <f t="shared" si="218"/>
        <v>4.6400228444668272</v>
      </c>
      <c r="F877" s="20">
        <f t="shared" si="219"/>
        <v>0.17901764936694359</v>
      </c>
      <c r="G877" s="20">
        <f t="shared" si="220"/>
        <v>3.8976191893521359</v>
      </c>
      <c r="I877" s="20">
        <f t="shared" ref="I877:I940" si="231">ATAN(P877/K877)</f>
        <v>-0.99271555498461239</v>
      </c>
      <c r="K877" s="20">
        <f t="shared" si="225"/>
        <v>17.211332278277286</v>
      </c>
      <c r="L877" s="20">
        <f t="shared" ref="L877:L940" si="232">-(D877*COS(I877))-(F877*SIN(I877))</f>
        <v>3.3479127051706498E-2</v>
      </c>
      <c r="M877" s="20">
        <f t="shared" si="221"/>
        <v>0.72891633032237102</v>
      </c>
      <c r="N877" s="1">
        <f t="shared" si="226"/>
        <v>220.28262610104511</v>
      </c>
      <c r="P877" s="20">
        <f t="shared" si="227"/>
        <v>-26.380397647835743</v>
      </c>
      <c r="Q877" s="20">
        <f t="shared" si="222"/>
        <v>-0.17426730562137843</v>
      </c>
      <c r="R877" s="20">
        <f t="shared" si="223"/>
        <v>-3.7941934600779108</v>
      </c>
      <c r="S877" s="20">
        <f t="shared" si="228"/>
        <v>34.632048825902807</v>
      </c>
      <c r="T877" s="1">
        <f t="shared" si="229"/>
        <v>0</v>
      </c>
    </row>
    <row r="878" spans="1:20" x14ac:dyDescent="0.25">
      <c r="A878" s="20">
        <f t="shared" si="224"/>
        <v>8.7299999999998583</v>
      </c>
      <c r="C878" s="20">
        <f t="shared" si="230"/>
        <v>31.53426058497945</v>
      </c>
      <c r="D878" s="20">
        <f t="shared" si="217"/>
        <v>0.21360046544474079</v>
      </c>
      <c r="E878" s="20">
        <f t="shared" si="218"/>
        <v>4.6505653264694269</v>
      </c>
      <c r="F878" s="20">
        <f t="shared" si="219"/>
        <v>0.17942439097358226</v>
      </c>
      <c r="G878" s="20">
        <f t="shared" si="220"/>
        <v>3.9064748742343189</v>
      </c>
      <c r="I878" s="20">
        <f t="shared" si="231"/>
        <v>-0.99317941148741806</v>
      </c>
      <c r="K878" s="20">
        <f t="shared" si="225"/>
        <v>17.21862144158051</v>
      </c>
      <c r="L878" s="20">
        <f t="shared" si="232"/>
        <v>3.3683648075753844E-2</v>
      </c>
      <c r="M878" s="20">
        <f t="shared" si="221"/>
        <v>0.73336921567066937</v>
      </c>
      <c r="N878" s="1">
        <f t="shared" si="226"/>
        <v>220.45477586964438</v>
      </c>
      <c r="P878" s="20">
        <f t="shared" si="227"/>
        <v>-26.418339582436523</v>
      </c>
      <c r="Q878" s="20">
        <f t="shared" si="222"/>
        <v>-0.17365511214163709</v>
      </c>
      <c r="R878" s="20">
        <f t="shared" si="223"/>
        <v>-3.7808646231577856</v>
      </c>
      <c r="S878" s="20">
        <f t="shared" si="228"/>
        <v>34.368055139751448</v>
      </c>
      <c r="T878" s="1">
        <f t="shared" si="229"/>
        <v>0</v>
      </c>
    </row>
    <row r="879" spans="1:20" x14ac:dyDescent="0.25">
      <c r="A879" s="20">
        <f t="shared" si="224"/>
        <v>8.7399999999998581</v>
      </c>
      <c r="C879" s="20">
        <f t="shared" si="230"/>
        <v>31.569943132143681</v>
      </c>
      <c r="D879" s="20">
        <f t="shared" si="217"/>
        <v>0.21408413753753036</v>
      </c>
      <c r="E879" s="20">
        <f t="shared" si="218"/>
        <v>4.6610959620624941</v>
      </c>
      <c r="F879" s="20">
        <f t="shared" si="219"/>
        <v>0.17983067553152551</v>
      </c>
      <c r="G879" s="20">
        <f t="shared" si="220"/>
        <v>3.9153206081324954</v>
      </c>
      <c r="I879" s="20">
        <f t="shared" si="231"/>
        <v>-0.99363873124884017</v>
      </c>
      <c r="K879" s="20">
        <f t="shared" si="225"/>
        <v>17.225955133737216</v>
      </c>
      <c r="L879" s="20">
        <f t="shared" si="232"/>
        <v>3.3887399016818809E-2</v>
      </c>
      <c r="M879" s="20">
        <f t="shared" si="221"/>
        <v>0.73780533457040731</v>
      </c>
      <c r="N879" s="1">
        <f t="shared" si="226"/>
        <v>220.62699875252096</v>
      </c>
      <c r="P879" s="20">
        <f t="shared" si="227"/>
        <v>-26.456148228668102</v>
      </c>
      <c r="Q879" s="20">
        <f t="shared" si="222"/>
        <v>-0.17304360069704622</v>
      </c>
      <c r="R879" s="20">
        <f t="shared" si="223"/>
        <v>-3.767550635685744</v>
      </c>
      <c r="S879" s="20">
        <f t="shared" si="228"/>
        <v>34.10368270069592</v>
      </c>
      <c r="T879" s="1">
        <f t="shared" si="229"/>
        <v>0</v>
      </c>
    </row>
    <row r="880" spans="1:20" x14ac:dyDescent="0.25">
      <c r="A880" s="20">
        <f t="shared" si="224"/>
        <v>8.7499999999998579</v>
      </c>
      <c r="C880" s="20">
        <f t="shared" si="230"/>
        <v>31.605544906544257</v>
      </c>
      <c r="D880" s="20">
        <f t="shared" si="217"/>
        <v>0.21456725989955383</v>
      </c>
      <c r="E880" s="20">
        <f t="shared" si="218"/>
        <v>4.6716146287732165</v>
      </c>
      <c r="F880" s="20">
        <f t="shared" si="219"/>
        <v>0.18023649831562522</v>
      </c>
      <c r="G880" s="20">
        <f t="shared" si="220"/>
        <v>3.924156288169502</v>
      </c>
      <c r="I880" s="20">
        <f t="shared" si="231"/>
        <v>-0.9940935402594947</v>
      </c>
      <c r="K880" s="20">
        <f t="shared" si="225"/>
        <v>17.23333318708292</v>
      </c>
      <c r="L880" s="20">
        <f t="shared" si="232"/>
        <v>3.4090376840197251E-2</v>
      </c>
      <c r="M880" s="20">
        <f t="shared" si="221"/>
        <v>0.74222462094921082</v>
      </c>
      <c r="N880" s="1">
        <f t="shared" si="226"/>
        <v>220.79929519412505</v>
      </c>
      <c r="P880" s="20">
        <f t="shared" si="227"/>
        <v>-26.493823735024961</v>
      </c>
      <c r="Q880" s="20">
        <f t="shared" si="222"/>
        <v>-0.17243277696753284</v>
      </c>
      <c r="R880" s="20">
        <f t="shared" si="223"/>
        <v>-3.7542516213266457</v>
      </c>
      <c r="S880" s="20">
        <f t="shared" si="228"/>
        <v>33.838932840877455</v>
      </c>
      <c r="T880" s="1">
        <f t="shared" si="229"/>
        <v>0</v>
      </c>
    </row>
    <row r="881" spans="1:20" x14ac:dyDescent="0.25">
      <c r="A881" s="20">
        <f t="shared" si="224"/>
        <v>8.7599999999998577</v>
      </c>
      <c r="C881" s="20">
        <f t="shared" si="230"/>
        <v>31.641065770102383</v>
      </c>
      <c r="D881" s="20">
        <f t="shared" si="217"/>
        <v>0.21504982694772976</v>
      </c>
      <c r="E881" s="20">
        <f t="shared" si="218"/>
        <v>4.6821212050452807</v>
      </c>
      <c r="F881" s="20">
        <f t="shared" si="219"/>
        <v>0.180641854636093</v>
      </c>
      <c r="G881" s="20">
        <f t="shared" si="220"/>
        <v>3.9329818122380362</v>
      </c>
      <c r="I881" s="20">
        <f t="shared" si="231"/>
        <v>-0.99454386436548248</v>
      </c>
      <c r="K881" s="20">
        <f t="shared" si="225"/>
        <v>17.240755433292414</v>
      </c>
      <c r="L881" s="20">
        <f t="shared" si="232"/>
        <v>3.4292578548372463E-2</v>
      </c>
      <c r="M881" s="20">
        <f t="shared" si="221"/>
        <v>0.74662700954436023</v>
      </c>
      <c r="N881" s="1">
        <f t="shared" si="226"/>
        <v>220.97166563722692</v>
      </c>
      <c r="P881" s="20">
        <f t="shared" si="227"/>
        <v>-26.531366251238229</v>
      </c>
      <c r="Q881" s="20">
        <f t="shared" si="222"/>
        <v>-0.17182264659606705</v>
      </c>
      <c r="R881" s="20">
        <f t="shared" si="223"/>
        <v>-3.7409677029407153</v>
      </c>
      <c r="S881" s="20">
        <f t="shared" si="228"/>
        <v>33.573806890946138</v>
      </c>
      <c r="T881" s="1">
        <f t="shared" si="229"/>
        <v>0</v>
      </c>
    </row>
    <row r="882" spans="1:20" x14ac:dyDescent="0.25">
      <c r="A882" s="20">
        <f t="shared" si="224"/>
        <v>8.7699999999998575</v>
      </c>
      <c r="C882" s="20">
        <f t="shared" si="230"/>
        <v>31.676505587828238</v>
      </c>
      <c r="D882" s="20">
        <f t="shared" si="217"/>
        <v>0.21553183314101187</v>
      </c>
      <c r="E882" s="20">
        <f t="shared" si="218"/>
        <v>4.6926155702375763</v>
      </c>
      <c r="F882" s="20">
        <f t="shared" si="219"/>
        <v>0.18104673983844999</v>
      </c>
      <c r="G882" s="20">
        <f t="shared" si="220"/>
        <v>3.9417970789995644</v>
      </c>
      <c r="I882" s="20">
        <f t="shared" si="231"/>
        <v>-0.99498972926924578</v>
      </c>
      <c r="K882" s="20">
        <f t="shared" si="225"/>
        <v>17.248221703387856</v>
      </c>
      <c r="L882" s="20">
        <f t="shared" si="232"/>
        <v>3.449400118102755E-2</v>
      </c>
      <c r="M882" s="20">
        <f t="shared" si="221"/>
        <v>0.7510124359030601</v>
      </c>
      <c r="N882" s="1">
        <f t="shared" si="226"/>
        <v>221.14411052291032</v>
      </c>
      <c r="P882" s="20">
        <f t="shared" si="227"/>
        <v>-26.568775928267637</v>
      </c>
      <c r="Q882" s="20">
        <f t="shared" si="222"/>
        <v>-0.17121321518869476</v>
      </c>
      <c r="R882" s="20">
        <f t="shared" si="223"/>
        <v>-3.7276990025842536</v>
      </c>
      <c r="S882" s="20">
        <f t="shared" si="228"/>
        <v>33.308306180048604</v>
      </c>
      <c r="T882" s="1">
        <f t="shared" si="229"/>
        <v>0</v>
      </c>
    </row>
    <row r="883" spans="1:20" x14ac:dyDescent="0.25">
      <c r="A883" s="20">
        <f t="shared" si="224"/>
        <v>8.7799999999998573</v>
      </c>
      <c r="C883" s="20">
        <f t="shared" si="230"/>
        <v>31.711864227795719</v>
      </c>
      <c r="D883" s="20">
        <f t="shared" si="217"/>
        <v>0.21601327298032763</v>
      </c>
      <c r="E883" s="20">
        <f t="shared" si="218"/>
        <v>4.7030976046228528</v>
      </c>
      <c r="F883" s="20">
        <f t="shared" si="219"/>
        <v>0.18145114930347522</v>
      </c>
      <c r="G883" s="20">
        <f t="shared" si="220"/>
        <v>3.9506019878831968</v>
      </c>
      <c r="I883" s="20">
        <f t="shared" si="231"/>
        <v>-0.99543116053042235</v>
      </c>
      <c r="K883" s="20">
        <f t="shared" si="225"/>
        <v>17.255731827746885</v>
      </c>
      <c r="L883" s="20">
        <f t="shared" si="232"/>
        <v>3.4694641815054647E-2</v>
      </c>
      <c r="M883" s="20">
        <f t="shared" si="221"/>
        <v>0.75538083638263986</v>
      </c>
      <c r="N883" s="1">
        <f t="shared" si="226"/>
        <v>221.316630290566</v>
      </c>
      <c r="P883" s="20">
        <f t="shared" si="227"/>
        <v>-26.606052918293479</v>
      </c>
      <c r="Q883" s="20">
        <f t="shared" si="222"/>
        <v>-0.17060448831457198</v>
      </c>
      <c r="R883" s="20">
        <f t="shared" si="223"/>
        <v>-3.7144456415103848</v>
      </c>
      <c r="S883" s="20">
        <f t="shared" si="228"/>
        <v>33.0424320358158</v>
      </c>
      <c r="T883" s="1">
        <f t="shared" si="229"/>
        <v>0</v>
      </c>
    </row>
    <row r="884" spans="1:20" x14ac:dyDescent="0.25">
      <c r="A884" s="20">
        <f t="shared" si="224"/>
        <v>8.789999999999857</v>
      </c>
      <c r="C884" s="20">
        <f t="shared" si="230"/>
        <v>31.747141561117349</v>
      </c>
      <c r="D884" s="20">
        <f t="shared" si="217"/>
        <v>0.21649414100851508</v>
      </c>
      <c r="E884" s="20">
        <f t="shared" si="218"/>
        <v>4.7135671893863504</v>
      </c>
      <c r="F884" s="20">
        <f t="shared" si="219"/>
        <v>0.18185507844715268</v>
      </c>
      <c r="G884" s="20">
        <f t="shared" si="220"/>
        <v>3.9593964390845349</v>
      </c>
      <c r="I884" s="20">
        <f t="shared" si="231"/>
        <v>-0.99586818356669549</v>
      </c>
      <c r="K884" s="20">
        <f t="shared" si="225"/>
        <v>17.263285636110712</v>
      </c>
      <c r="L884" s="20">
        <f t="shared" si="232"/>
        <v>3.4894497564560784E-2</v>
      </c>
      <c r="M884" s="20">
        <f t="shared" si="221"/>
        <v>0.75973214815068113</v>
      </c>
      <c r="N884" s="1">
        <f t="shared" si="226"/>
        <v>221.48922537788528</v>
      </c>
      <c r="P884" s="20">
        <f t="shared" si="227"/>
        <v>-26.643197374708581</v>
      </c>
      <c r="Q884" s="20">
        <f t="shared" si="222"/>
        <v>-0.16999647150599956</v>
      </c>
      <c r="R884" s="20">
        <f t="shared" si="223"/>
        <v>-3.701207740169814</v>
      </c>
      <c r="S884" s="20">
        <f t="shared" si="228"/>
        <v>32.776185784350787</v>
      </c>
      <c r="T884" s="1">
        <f t="shared" si="229"/>
        <v>0</v>
      </c>
    </row>
    <row r="885" spans="1:20" x14ac:dyDescent="0.25">
      <c r="A885" s="20">
        <f t="shared" si="224"/>
        <v>8.7999999999998568</v>
      </c>
      <c r="C885" s="20">
        <f t="shared" si="230"/>
        <v>31.782337461919379</v>
      </c>
      <c r="D885" s="20">
        <f t="shared" si="217"/>
        <v>0.21697443181025886</v>
      </c>
      <c r="E885" s="20">
        <f t="shared" si="218"/>
        <v>4.7240242066244038</v>
      </c>
      <c r="F885" s="20">
        <f t="shared" si="219"/>
        <v>0.18225852272061746</v>
      </c>
      <c r="G885" s="20">
        <f t="shared" si="220"/>
        <v>3.9681803335644994</v>
      </c>
      <c r="I885" s="20">
        <f t="shared" si="231"/>
        <v>-0.99630082365464001</v>
      </c>
      <c r="K885" s="20">
        <f t="shared" si="225"/>
        <v>17.270882957592217</v>
      </c>
      <c r="L885" s="20">
        <f t="shared" si="232"/>
        <v>3.5093565580870331E-2</v>
      </c>
      <c r="M885" s="20">
        <f t="shared" si="221"/>
        <v>0.76406630918507146</v>
      </c>
      <c r="N885" s="1">
        <f t="shared" si="226"/>
        <v>221.66189622085378</v>
      </c>
      <c r="P885" s="20">
        <f t="shared" si="227"/>
        <v>-26.680209452110279</v>
      </c>
      <c r="Q885" s="20">
        <f t="shared" si="222"/>
        <v>-0.16938917025845918</v>
      </c>
      <c r="R885" s="20">
        <f t="shared" si="223"/>
        <v>-3.6879854182116087</v>
      </c>
      <c r="S885" s="20">
        <f t="shared" si="228"/>
        <v>32.509568750216687</v>
      </c>
      <c r="T885" s="1">
        <f t="shared" si="229"/>
        <v>0</v>
      </c>
    </row>
    <row r="886" spans="1:20" x14ac:dyDescent="0.25">
      <c r="A886" s="20">
        <f t="shared" si="224"/>
        <v>8.8099999999998566</v>
      </c>
      <c r="C886" s="20">
        <f t="shared" si="230"/>
        <v>31.817451807317017</v>
      </c>
      <c r="D886" s="20">
        <f t="shared" si="217"/>
        <v>0.21745414001202382</v>
      </c>
      <c r="E886" s="20">
        <f t="shared" si="218"/>
        <v>4.7344685393429966</v>
      </c>
      <c r="F886" s="20">
        <f t="shared" si="219"/>
        <v>0.18266147761010001</v>
      </c>
      <c r="G886" s="20">
        <f t="shared" si="220"/>
        <v>3.9769535730481174</v>
      </c>
      <c r="I886" s="20">
        <f t="shared" si="231"/>
        <v>-0.99672910593056419</v>
      </c>
      <c r="K886" s="20">
        <f t="shared" si="225"/>
        <v>17.278523620684069</v>
      </c>
      <c r="L886" s="20">
        <f t="shared" si="232"/>
        <v>3.5291843052523947E-2</v>
      </c>
      <c r="M886" s="20">
        <f t="shared" si="221"/>
        <v>0.76838325827398102</v>
      </c>
      <c r="N886" s="1">
        <f t="shared" si="226"/>
        <v>221.83464325374516</v>
      </c>
      <c r="P886" s="20">
        <f t="shared" si="227"/>
        <v>-26.717089306292397</v>
      </c>
      <c r="Q886" s="20">
        <f t="shared" si="222"/>
        <v>-0.16878259003065071</v>
      </c>
      <c r="R886" s="20">
        <f t="shared" si="223"/>
        <v>-3.6747787944840131</v>
      </c>
      <c r="S886" s="20">
        <f t="shared" si="228"/>
        <v>32.242582256424669</v>
      </c>
      <c r="T886" s="1">
        <f t="shared" si="229"/>
        <v>0</v>
      </c>
    </row>
    <row r="887" spans="1:20" x14ac:dyDescent="0.25">
      <c r="A887" s="20">
        <f t="shared" si="224"/>
        <v>8.8199999999998564</v>
      </c>
      <c r="C887" s="20">
        <f t="shared" si="230"/>
        <v>31.852484477389851</v>
      </c>
      <c r="D887" s="20">
        <f t="shared" si="217"/>
        <v>0.21793326028198781</v>
      </c>
      <c r="E887" s="20">
        <f t="shared" si="218"/>
        <v>4.744900071456299</v>
      </c>
      <c r="F887" s="20">
        <f t="shared" si="219"/>
        <v>0.18306393863686976</v>
      </c>
      <c r="G887" s="20">
        <f t="shared" si="220"/>
        <v>3.9857160600232913</v>
      </c>
      <c r="I887" s="20">
        <f t="shared" si="231"/>
        <v>-0.99715305539134869</v>
      </c>
      <c r="K887" s="20">
        <f t="shared" si="225"/>
        <v>17.286207453266808</v>
      </c>
      <c r="L887" s="20">
        <f t="shared" si="232"/>
        <v>3.5489327205274729E-2</v>
      </c>
      <c r="M887" s="20">
        <f t="shared" si="221"/>
        <v>0.772682935015779</v>
      </c>
      <c r="N887" s="1">
        <f t="shared" si="226"/>
        <v>222.0074669091149</v>
      </c>
      <c r="P887" s="20">
        <f t="shared" si="227"/>
        <v>-26.753837094237237</v>
      </c>
      <c r="Q887" s="20">
        <f t="shared" si="222"/>
        <v>-0.16817673624453006</v>
      </c>
      <c r="R887" s="20">
        <f t="shared" si="223"/>
        <v>-3.6615879870352726</v>
      </c>
      <c r="S887" s="20">
        <f t="shared" si="228"/>
        <v>31.975227624422018</v>
      </c>
      <c r="T887" s="1">
        <f t="shared" si="229"/>
        <v>0</v>
      </c>
    </row>
    <row r="888" spans="1:20" x14ac:dyDescent="0.25">
      <c r="A888" s="20">
        <f t="shared" si="224"/>
        <v>8.8299999999998562</v>
      </c>
      <c r="C888" s="20">
        <f t="shared" si="230"/>
        <v>31.887435355157439</v>
      </c>
      <c r="D888" s="20">
        <f t="shared" si="217"/>
        <v>0.21841178732997288</v>
      </c>
      <c r="E888" s="20">
        <f t="shared" si="218"/>
        <v>4.755318687785171</v>
      </c>
      <c r="F888" s="20">
        <f t="shared" si="219"/>
        <v>0.18346590135717722</v>
      </c>
      <c r="G888" s="20">
        <f t="shared" si="220"/>
        <v>3.9944676977395432</v>
      </c>
      <c r="I888" s="20">
        <f t="shared" si="231"/>
        <v>-0.99757269689528061</v>
      </c>
      <c r="K888" s="20">
        <f t="shared" si="225"/>
        <v>17.293934282616966</v>
      </c>
      <c r="L888" s="20">
        <f t="shared" si="232"/>
        <v>3.568601530208064E-2</v>
      </c>
      <c r="M888" s="20">
        <f t="shared" si="221"/>
        <v>0.77696527981886876</v>
      </c>
      <c r="N888" s="1">
        <f t="shared" si="226"/>
        <v>222.18036761779433</v>
      </c>
      <c r="P888" s="20">
        <f t="shared" si="227"/>
        <v>-26.790452974107591</v>
      </c>
      <c r="Q888" s="20">
        <f t="shared" si="222"/>
        <v>-0.16757161428534839</v>
      </c>
      <c r="R888" s="20">
        <f t="shared" si="223"/>
        <v>-3.6484131131144872</v>
      </c>
      <c r="S888" s="20">
        <f t="shared" si="228"/>
        <v>31.707506174080294</v>
      </c>
      <c r="T888" s="1">
        <f t="shared" si="229"/>
        <v>0</v>
      </c>
    </row>
    <row r="889" spans="1:20" x14ac:dyDescent="0.25">
      <c r="A889" s="20">
        <f t="shared" si="224"/>
        <v>8.839999999999856</v>
      </c>
      <c r="C889" s="20">
        <f t="shared" si="230"/>
        <v>31.92230432655505</v>
      </c>
      <c r="D889" s="20">
        <f t="shared" si="217"/>
        <v>0.21888971590737485</v>
      </c>
      <c r="E889" s="20">
        <f t="shared" si="218"/>
        <v>4.7657242740556249</v>
      </c>
      <c r="F889" s="20">
        <f t="shared" si="219"/>
        <v>0.18386736136219489</v>
      </c>
      <c r="G889" s="20">
        <f t="shared" si="220"/>
        <v>4.0032083902067255</v>
      </c>
      <c r="I889" s="20">
        <f t="shared" si="231"/>
        <v>-0.99798805516288447</v>
      </c>
      <c r="K889" s="20">
        <f t="shared" si="225"/>
        <v>17.301703935415155</v>
      </c>
      <c r="L889" s="20">
        <f t="shared" si="232"/>
        <v>3.5881904643093904E-2</v>
      </c>
      <c r="M889" s="20">
        <f t="shared" si="221"/>
        <v>0.78123023390145663</v>
      </c>
      <c r="N889" s="1">
        <f t="shared" si="226"/>
        <v>222.35334580888448</v>
      </c>
      <c r="P889" s="20">
        <f t="shared" si="227"/>
        <v>-26.826937105238738</v>
      </c>
      <c r="Q889" s="20">
        <f t="shared" si="222"/>
        <v>-0.16696722950169218</v>
      </c>
      <c r="R889" s="20">
        <f t="shared" si="223"/>
        <v>-3.6352542891724839</v>
      </c>
      <c r="S889" s="20">
        <f t="shared" si="228"/>
        <v>31.439419223683561</v>
      </c>
      <c r="T889" s="1">
        <f t="shared" si="229"/>
        <v>0</v>
      </c>
    </row>
    <row r="890" spans="1:20" x14ac:dyDescent="0.25">
      <c r="A890" s="20">
        <f t="shared" si="224"/>
        <v>8.8499999999998558</v>
      </c>
      <c r="C890" s="20">
        <f t="shared" si="230"/>
        <v>31.957091280409557</v>
      </c>
      <c r="D890" s="20">
        <f t="shared" si="217"/>
        <v>0.21936704080709149</v>
      </c>
      <c r="E890" s="20">
        <f t="shared" si="218"/>
        <v>4.7761167168972678</v>
      </c>
      <c r="F890" s="20">
        <f t="shared" si="219"/>
        <v>0.18426831427795687</v>
      </c>
      <c r="G890" s="20">
        <f t="shared" si="220"/>
        <v>4.0119380421937052</v>
      </c>
      <c r="I890" s="20">
        <f t="shared" si="231"/>
        <v>-0.99839915477774865</v>
      </c>
      <c r="K890" s="20">
        <f t="shared" si="225"/>
        <v>17.30951623775417</v>
      </c>
      <c r="L890" s="20">
        <f t="shared" si="232"/>
        <v>3.60769925656476E-2</v>
      </c>
      <c r="M890" s="20">
        <f t="shared" si="221"/>
        <v>0.78547773929126063</v>
      </c>
      <c r="N890" s="1">
        <f t="shared" si="226"/>
        <v>222.52640190975035</v>
      </c>
      <c r="P890" s="20">
        <f t="shared" si="227"/>
        <v>-26.863289648130461</v>
      </c>
      <c r="Q890" s="20">
        <f t="shared" si="222"/>
        <v>-0.16636358720552458</v>
      </c>
      <c r="R890" s="20">
        <f t="shared" si="223"/>
        <v>-3.6221116308627166</v>
      </c>
      <c r="S890" s="20">
        <f t="shared" si="228"/>
        <v>31.170968089916716</v>
      </c>
      <c r="T890" s="1">
        <f t="shared" si="229"/>
        <v>0</v>
      </c>
    </row>
    <row r="891" spans="1:20" x14ac:dyDescent="0.25">
      <c r="A891" s="20">
        <f t="shared" si="224"/>
        <v>8.8599999999998555</v>
      </c>
      <c r="C891" s="20">
        <f t="shared" si="230"/>
        <v>31.991796108415524</v>
      </c>
      <c r="D891" s="20">
        <f t="shared" si="217"/>
        <v>0.21984375686344951</v>
      </c>
      <c r="E891" s="20">
        <f t="shared" si="218"/>
        <v>4.786495903841705</v>
      </c>
      <c r="F891" s="20">
        <f t="shared" si="219"/>
        <v>0.18466875576529759</v>
      </c>
      <c r="G891" s="20">
        <f t="shared" si="220"/>
        <v>4.0206565592270325</v>
      </c>
      <c r="I891" s="20">
        <f t="shared" si="231"/>
        <v>-0.99880602018734843</v>
      </c>
      <c r="K891" s="20">
        <f t="shared" si="225"/>
        <v>17.317371015147081</v>
      </c>
      <c r="L891" s="20">
        <f t="shared" si="232"/>
        <v>3.6271276444238512E-2</v>
      </c>
      <c r="M891" s="20">
        <f t="shared" si="221"/>
        <v>0.78970773882513634</v>
      </c>
      <c r="N891" s="1">
        <f t="shared" si="226"/>
        <v>222.69953634601484</v>
      </c>
      <c r="P891" s="20">
        <f t="shared" si="227"/>
        <v>-26.899510764439089</v>
      </c>
      <c r="Q891" s="20">
        <f t="shared" si="222"/>
        <v>-0.16576069267222693</v>
      </c>
      <c r="R891" s="20">
        <f t="shared" si="223"/>
        <v>-3.6089852530421713</v>
      </c>
      <c r="S891" s="20">
        <f t="shared" si="228"/>
        <v>30.902154087853869</v>
      </c>
      <c r="T891" s="1">
        <f t="shared" si="229"/>
        <v>0</v>
      </c>
    </row>
    <row r="892" spans="1:20" x14ac:dyDescent="0.25">
      <c r="A892" s="20">
        <f t="shared" si="224"/>
        <v>8.8699999999998553</v>
      </c>
      <c r="C892" s="20">
        <f t="shared" si="230"/>
        <v>32.026418705111425</v>
      </c>
      <c r="D892" s="20">
        <f t="shared" si="217"/>
        <v>0.22031985895212969</v>
      </c>
      <c r="E892" s="20">
        <f t="shared" si="218"/>
        <v>4.7968617233209168</v>
      </c>
      <c r="F892" s="20">
        <f t="shared" si="219"/>
        <v>0.18506868151978895</v>
      </c>
      <c r="G892" s="20">
        <f t="shared" si="220"/>
        <v>4.0293638475895701</v>
      </c>
      <c r="I892" s="20">
        <f t="shared" si="231"/>
        <v>-0.99920867570386374</v>
      </c>
      <c r="K892" s="20">
        <f t="shared" si="225"/>
        <v>17.325268092535332</v>
      </c>
      <c r="L892" s="20">
        <f t="shared" si="232"/>
        <v>3.6464753690507293E-2</v>
      </c>
      <c r="M892" s="20">
        <f t="shared" si="221"/>
        <v>0.79392017614864563</v>
      </c>
      <c r="N892" s="1">
        <f t="shared" si="226"/>
        <v>222.87274954155325</v>
      </c>
      <c r="P892" s="20">
        <f t="shared" si="227"/>
        <v>-26.935600616969509</v>
      </c>
      <c r="Q892" s="20">
        <f t="shared" si="222"/>
        <v>-0.16515855114064265</v>
      </c>
      <c r="R892" s="20">
        <f t="shared" si="223"/>
        <v>-3.59587526977232</v>
      </c>
      <c r="S892" s="20">
        <f t="shared" si="228"/>
        <v>30.632978530946829</v>
      </c>
      <c r="T892" s="1">
        <f t="shared" si="229"/>
        <v>0</v>
      </c>
    </row>
    <row r="893" spans="1:20" x14ac:dyDescent="0.25">
      <c r="A893" s="20">
        <f t="shared" si="224"/>
        <v>8.8799999999998551</v>
      </c>
      <c r="C893" s="20">
        <f t="shared" si="230"/>
        <v>32.060958967856045</v>
      </c>
      <c r="D893" s="20">
        <f t="shared" si="217"/>
        <v>0.22079534199009146</v>
      </c>
      <c r="E893" s="20">
        <f t="shared" si="218"/>
        <v>4.8072140646656099</v>
      </c>
      <c r="F893" s="20">
        <f t="shared" si="219"/>
        <v>0.18546808727167682</v>
      </c>
      <c r="G893" s="20">
        <f t="shared" si="220"/>
        <v>4.0380598143191122</v>
      </c>
      <c r="I893" s="20">
        <f t="shared" si="231"/>
        <v>-0.99960714550499463</v>
      </c>
      <c r="K893" s="20">
        <f t="shared" si="225"/>
        <v>17.33320729429682</v>
      </c>
      <c r="L893" s="20">
        <f t="shared" si="232"/>
        <v>3.6657421753215694E-2</v>
      </c>
      <c r="M893" s="20">
        <f t="shared" si="221"/>
        <v>0.79811499571556055</v>
      </c>
      <c r="N893" s="1">
        <f t="shared" si="226"/>
        <v>223.04604191848739</v>
      </c>
      <c r="P893" s="20">
        <f t="shared" si="227"/>
        <v>-26.971559369667233</v>
      </c>
      <c r="Q893" s="20">
        <f t="shared" si="222"/>
        <v>-0.1645571678131203</v>
      </c>
      <c r="R893" s="20">
        <f t="shared" si="223"/>
        <v>-3.5827817943200588</v>
      </c>
      <c r="S893" s="20">
        <f t="shared" si="228"/>
        <v>30.363442731013645</v>
      </c>
      <c r="T893" s="1">
        <f t="shared" si="229"/>
        <v>0</v>
      </c>
    </row>
    <row r="894" spans="1:20" x14ac:dyDescent="0.25">
      <c r="A894" s="20">
        <f t="shared" si="224"/>
        <v>8.8899999999998549</v>
      </c>
      <c r="C894" s="20">
        <f t="shared" si="230"/>
        <v>32.09541679680499</v>
      </c>
      <c r="D894" s="20">
        <f t="shared" si="217"/>
        <v>0.22127020093549452</v>
      </c>
      <c r="E894" s="20">
        <f t="shared" si="218"/>
        <v>4.8175528181035165</v>
      </c>
      <c r="F894" s="20">
        <f t="shared" si="219"/>
        <v>0.18586696878581541</v>
      </c>
      <c r="G894" s="20">
        <f t="shared" si="220"/>
        <v>4.0467443672069541</v>
      </c>
      <c r="I894" s="20">
        <f t="shared" si="231"/>
        <v>-1.0000014536347714</v>
      </c>
      <c r="K894" s="20">
        <f t="shared" si="225"/>
        <v>17.341188444253977</v>
      </c>
      <c r="L894" s="20">
        <f t="shared" si="232"/>
        <v>3.684927811822028E-2</v>
      </c>
      <c r="M894" s="20">
        <f t="shared" si="221"/>
        <v>0.80229214278729111</v>
      </c>
      <c r="N894" s="1">
        <f t="shared" si="226"/>
        <v>223.21941389718015</v>
      </c>
      <c r="P894" s="20">
        <f t="shared" si="227"/>
        <v>-27.007387187610433</v>
      </c>
      <c r="Q894" s="20">
        <f t="shared" si="222"/>
        <v>-0.16395654785555985</v>
      </c>
      <c r="R894" s="20">
        <f t="shared" si="223"/>
        <v>-3.5697049391587168</v>
      </c>
      <c r="S894" s="20">
        <f t="shared" si="228"/>
        <v>30.093547998227255</v>
      </c>
      <c r="T894" s="1">
        <f t="shared" si="229"/>
        <v>0</v>
      </c>
    </row>
    <row r="895" spans="1:20" x14ac:dyDescent="0.25">
      <c r="A895" s="20">
        <f t="shared" si="224"/>
        <v>8.8999999999998547</v>
      </c>
      <c r="C895" s="20">
        <f t="shared" si="230"/>
        <v>32.129792094887442</v>
      </c>
      <c r="D895" s="20">
        <f t="shared" si="217"/>
        <v>0.22174443078762132</v>
      </c>
      <c r="E895" s="20">
        <f t="shared" si="218"/>
        <v>4.8278778747577036</v>
      </c>
      <c r="F895" s="20">
        <f t="shared" si="219"/>
        <v>0.18626532186160191</v>
      </c>
      <c r="G895" s="20">
        <f t="shared" si="220"/>
        <v>4.0554174147964712</v>
      </c>
      <c r="I895" s="20">
        <f t="shared" si="231"/>
        <v>-1.0003916240043618</v>
      </c>
      <c r="K895" s="20">
        <f t="shared" si="225"/>
        <v>17.34921136568185</v>
      </c>
      <c r="L895" s="20">
        <f t="shared" si="232"/>
        <v>3.7040320308443966E-2</v>
      </c>
      <c r="M895" s="20">
        <f t="shared" si="221"/>
        <v>0.80645156343226576</v>
      </c>
      <c r="N895" s="1">
        <f t="shared" si="226"/>
        <v>223.39286589622984</v>
      </c>
      <c r="P895" s="20">
        <f t="shared" si="227"/>
        <v>-27.04308423700202</v>
      </c>
      <c r="Q895" s="20">
        <f t="shared" si="222"/>
        <v>-0.1633566963974572</v>
      </c>
      <c r="R895" s="20">
        <f t="shared" si="223"/>
        <v>-3.5566448159690225</v>
      </c>
      <c r="S895" s="20">
        <f t="shared" si="228"/>
        <v>29.823295641104192</v>
      </c>
      <c r="T895" s="1">
        <f t="shared" si="229"/>
        <v>0</v>
      </c>
    </row>
    <row r="896" spans="1:20" x14ac:dyDescent="0.25">
      <c r="A896" s="20">
        <f t="shared" si="224"/>
        <v>8.9099999999998545</v>
      </c>
      <c r="C896" s="20">
        <f t="shared" si="230"/>
        <v>32.164084767782974</v>
      </c>
      <c r="D896" s="20">
        <f t="shared" si="217"/>
        <v>0.2222180265867961</v>
      </c>
      <c r="E896" s="20">
        <f t="shared" si="218"/>
        <v>4.8381891266448092</v>
      </c>
      <c r="F896" s="20">
        <f t="shared" si="219"/>
        <v>0.18666314233290873</v>
      </c>
      <c r="G896" s="20">
        <f t="shared" si="220"/>
        <v>4.0640788663816405</v>
      </c>
      <c r="I896" s="20">
        <f t="shared" si="231"/>
        <v>-1.0007776803928721</v>
      </c>
      <c r="K896" s="20">
        <f t="shared" si="225"/>
        <v>17.357275881316173</v>
      </c>
      <c r="L896" s="20">
        <f t="shared" si="232"/>
        <v>3.7230545883843835E-2</v>
      </c>
      <c r="M896" s="20">
        <f t="shared" si="221"/>
        <v>0.81059320452523054</v>
      </c>
      <c r="N896" s="1">
        <f t="shared" si="226"/>
        <v>223.56639833246481</v>
      </c>
      <c r="P896" s="20">
        <f t="shared" si="227"/>
        <v>-27.078650685161712</v>
      </c>
      <c r="Q896" s="20">
        <f t="shared" si="222"/>
        <v>-0.1627576185319522</v>
      </c>
      <c r="R896" s="20">
        <f t="shared" si="223"/>
        <v>-3.5436015356401525</v>
      </c>
      <c r="S896" s="20">
        <f t="shared" si="228"/>
        <v>29.552686966493372</v>
      </c>
      <c r="T896" s="1">
        <f t="shared" si="229"/>
        <v>0</v>
      </c>
    </row>
    <row r="897" spans="1:20" x14ac:dyDescent="0.25">
      <c r="A897" s="20">
        <f t="shared" si="224"/>
        <v>8.9199999999998543</v>
      </c>
      <c r="C897" s="20">
        <f t="shared" si="230"/>
        <v>32.198294723898613</v>
      </c>
      <c r="D897" s="20">
        <f t="shared" si="217"/>
        <v>0.22269098341430421</v>
      </c>
      <c r="E897" s="20">
        <f t="shared" si="218"/>
        <v>4.8484864666732905</v>
      </c>
      <c r="F897" s="20">
        <f t="shared" si="219"/>
        <v>0.18706042606801554</v>
      </c>
      <c r="G897" s="20">
        <f t="shared" si="220"/>
        <v>4.072728632005564</v>
      </c>
      <c r="I897" s="20">
        <f t="shared" si="231"/>
        <v>-1.001159646448146</v>
      </c>
      <c r="K897" s="20">
        <f t="shared" si="225"/>
        <v>17.365381813361427</v>
      </c>
      <c r="L897" s="20">
        <f t="shared" si="232"/>
        <v>3.7419952441376247E-2</v>
      </c>
      <c r="M897" s="20">
        <f t="shared" si="221"/>
        <v>0.81471701374648919</v>
      </c>
      <c r="N897" s="1">
        <f t="shared" si="226"/>
        <v>223.74001162093819</v>
      </c>
      <c r="P897" s="20">
        <f t="shared" si="227"/>
        <v>-27.114086700518115</v>
      </c>
      <c r="Q897" s="20">
        <f t="shared" si="222"/>
        <v>-0.16215931931587546</v>
      </c>
      <c r="R897" s="20">
        <f t="shared" si="223"/>
        <v>-3.530575208270748</v>
      </c>
      <c r="S897" s="20">
        <f t="shared" si="228"/>
        <v>29.281723279564972</v>
      </c>
      <c r="T897" s="1">
        <f t="shared" si="229"/>
        <v>0</v>
      </c>
    </row>
    <row r="898" spans="1:20" x14ac:dyDescent="0.25">
      <c r="A898" s="20">
        <f t="shared" si="224"/>
        <v>8.9299999999998541</v>
      </c>
      <c r="C898" s="20">
        <f t="shared" si="230"/>
        <v>32.232421874345938</v>
      </c>
      <c r="D898" s="20">
        <f t="shared" si="217"/>
        <v>0.2231632963923085</v>
      </c>
      <c r="E898" s="20">
        <f t="shared" si="218"/>
        <v>4.8587697886415961</v>
      </c>
      <c r="F898" s="20">
        <f t="shared" si="219"/>
        <v>0.18745716896953915</v>
      </c>
      <c r="G898" s="20">
        <f t="shared" si="220"/>
        <v>4.0813666224589413</v>
      </c>
      <c r="I898" s="20">
        <f t="shared" si="231"/>
        <v>-1.0015375456875597</v>
      </c>
      <c r="K898" s="20">
        <f t="shared" si="225"/>
        <v>17.373528983498893</v>
      </c>
      <c r="L898" s="20">
        <f t="shared" si="232"/>
        <v>3.7608537614959955E-2</v>
      </c>
      <c r="M898" s="20">
        <f t="shared" si="221"/>
        <v>0.81882293958110075</v>
      </c>
      <c r="N898" s="1">
        <f t="shared" si="226"/>
        <v>223.91370617492248</v>
      </c>
      <c r="P898" s="20">
        <f t="shared" si="227"/>
        <v>-27.149392452600821</v>
      </c>
      <c r="Q898" s="20">
        <f t="shared" si="222"/>
        <v>-0.1615618037697984</v>
      </c>
      <c r="R898" s="20">
        <f t="shared" si="223"/>
        <v>-3.5175659431700064</v>
      </c>
      <c r="S898" s="20">
        <f t="shared" si="228"/>
        <v>29.010405883799379</v>
      </c>
      <c r="T898" s="1">
        <f t="shared" si="229"/>
        <v>0</v>
      </c>
    </row>
    <row r="899" spans="1:20" x14ac:dyDescent="0.25">
      <c r="A899" s="20">
        <f t="shared" si="224"/>
        <v>8.9399999999998538</v>
      </c>
      <c r="C899" s="20">
        <f t="shared" si="230"/>
        <v>32.266466132918481</v>
      </c>
      <c r="D899" s="20">
        <f t="shared" si="217"/>
        <v>0.2236349606837662</v>
      </c>
      <c r="E899" s="20">
        <f t="shared" si="218"/>
        <v>4.8690389872363644</v>
      </c>
      <c r="F899" s="20">
        <f t="shared" si="219"/>
        <v>0.18785336697436361</v>
      </c>
      <c r="G899" s="20">
        <f t="shared" si="220"/>
        <v>4.0899927492785464</v>
      </c>
      <c r="I899" s="20">
        <f t="shared" si="231"/>
        <v>-1.0019114014988102</v>
      </c>
      <c r="K899" s="20">
        <f t="shared" si="225"/>
        <v>17.381717212894703</v>
      </c>
      <c r="L899" s="20">
        <f t="shared" si="232"/>
        <v>3.7796299075434886E-2</v>
      </c>
      <c r="M899" s="20">
        <f t="shared" si="221"/>
        <v>0.82291093131798143</v>
      </c>
      <c r="N899" s="1">
        <f t="shared" si="226"/>
        <v>224.08748240590444</v>
      </c>
      <c r="P899" s="20">
        <f t="shared" si="227"/>
        <v>-27.184568112032522</v>
      </c>
      <c r="Q899" s="20">
        <f t="shared" si="222"/>
        <v>-0.16096507687808165</v>
      </c>
      <c r="R899" s="20">
        <f t="shared" si="223"/>
        <v>-3.5045738488587341</v>
      </c>
      <c r="S899" s="20">
        <f t="shared" si="228"/>
        <v>28.73873608097621</v>
      </c>
      <c r="T899" s="1">
        <f t="shared" si="229"/>
        <v>0</v>
      </c>
    </row>
    <row r="900" spans="1:20" x14ac:dyDescent="0.25">
      <c r="A900" s="20">
        <f t="shared" si="224"/>
        <v>8.9499999999998536</v>
      </c>
      <c r="C900" s="20">
        <f t="shared" si="230"/>
        <v>32.300427416069155</v>
      </c>
      <c r="D900" s="20">
        <f t="shared" si="217"/>
        <v>0.22410597149234324</v>
      </c>
      <c r="E900" s="20">
        <f t="shared" si="218"/>
        <v>4.8792939580305514</v>
      </c>
      <c r="F900" s="20">
        <f t="shared" si="219"/>
        <v>0.18824901605356834</v>
      </c>
      <c r="G900" s="20">
        <f t="shared" si="220"/>
        <v>4.0986069247456642</v>
      </c>
      <c r="I900" s="20">
        <f t="shared" si="231"/>
        <v>-1.0022812371407022</v>
      </c>
      <c r="K900" s="20">
        <f t="shared" si="225"/>
        <v>17.389946322207884</v>
      </c>
      <c r="L900" s="20">
        <f t="shared" si="232"/>
        <v>3.7983234530519619E-2</v>
      </c>
      <c r="M900" s="20">
        <f t="shared" si="221"/>
        <v>0.82698093904897929</v>
      </c>
      <c r="N900" s="1">
        <f t="shared" si="226"/>
        <v>224.26134072357993</v>
      </c>
      <c r="P900" s="20">
        <f t="shared" si="227"/>
        <v>-27.21961385052111</v>
      </c>
      <c r="Q900" s="20">
        <f t="shared" si="222"/>
        <v>-0.16036914358892596</v>
      </c>
      <c r="R900" s="20">
        <f t="shared" si="223"/>
        <v>-3.4915990330704543</v>
      </c>
      <c r="S900" s="20">
        <f t="shared" si="228"/>
        <v>28.466715171163443</v>
      </c>
      <c r="T900" s="1">
        <f t="shared" si="229"/>
        <v>0</v>
      </c>
    </row>
    <row r="901" spans="1:20" x14ac:dyDescent="0.25">
      <c r="A901" s="20">
        <f t="shared" si="224"/>
        <v>8.9599999999998534</v>
      </c>
      <c r="C901" s="20">
        <f t="shared" si="230"/>
        <v>32.334305642887898</v>
      </c>
      <c r="D901" s="20">
        <f t="shared" ref="D901:D964" si="233">0.5*$W$5*$W$10*$W$9*C901^2</f>
        <v>0.22457632406232786</v>
      </c>
      <c r="E901" s="20">
        <f t="shared" ref="E901:E964" si="234">D901/$W$4</f>
        <v>4.8895345974815561</v>
      </c>
      <c r="F901" s="20">
        <f t="shared" ref="F901:F964" si="235">0.5*$W$6*$W$10*$W$9*C901^2</f>
        <v>0.18864411221235541</v>
      </c>
      <c r="G901" s="20">
        <f t="shared" ref="G901:G964" si="236">F901/$W$4</f>
        <v>4.1072090618845074</v>
      </c>
      <c r="I901" s="20">
        <f t="shared" si="231"/>
        <v>-1.0026470757439294</v>
      </c>
      <c r="K901" s="20">
        <f t="shared" si="225"/>
        <v>17.398216131598375</v>
      </c>
      <c r="L901" s="20">
        <f t="shared" si="232"/>
        <v>3.8169341724764896E-2</v>
      </c>
      <c r="M901" s="20">
        <f t="shared" ref="M901:M964" si="237">L901/$W$4</f>
        <v>0.83103291366786192</v>
      </c>
      <c r="N901" s="1">
        <f t="shared" si="226"/>
        <v>224.43528153584896</v>
      </c>
      <c r="P901" s="20">
        <f t="shared" si="227"/>
        <v>-27.254529840851816</v>
      </c>
      <c r="Q901" s="20">
        <f t="shared" ref="Q901:Q964" si="238">-(D901*SIN(I901))+(F901*COS(I901))-($W$4*9.81)</f>
        <v>-0.15977400881442377</v>
      </c>
      <c r="R901" s="20">
        <f t="shared" ref="R901:R964" si="239">Q901/$W$4</f>
        <v>-3.4786416027525315</v>
      </c>
      <c r="S901" s="20">
        <f t="shared" si="228"/>
        <v>28.194344452706577</v>
      </c>
      <c r="T901" s="1">
        <f t="shared" si="229"/>
        <v>0</v>
      </c>
    </row>
    <row r="902" spans="1:20" x14ac:dyDescent="0.25">
      <c r="A902" s="20">
        <f t="shared" ref="A902:A965" si="240">A901+$W$18</f>
        <v>8.9699999999998532</v>
      </c>
      <c r="C902" s="20">
        <f t="shared" si="230"/>
        <v>32.368100735079416</v>
      </c>
      <c r="D902" s="20">
        <f t="shared" si="233"/>
        <v>0.22504601367854221</v>
      </c>
      <c r="E902" s="20">
        <f t="shared" si="234"/>
        <v>4.8997608029292881</v>
      </c>
      <c r="F902" s="20">
        <f t="shared" si="235"/>
        <v>0.18903865148997545</v>
      </c>
      <c r="G902" s="20">
        <f t="shared" si="236"/>
        <v>4.1157990744606021</v>
      </c>
      <c r="I902" s="20">
        <f t="shared" si="231"/>
        <v>-1.0030089403118521</v>
      </c>
      <c r="K902" s="20">
        <f t="shared" ref="K902:K965" si="241">K901+(M901*$W$18)</f>
        <v>17.406526460735055</v>
      </c>
      <c r="L902" s="20">
        <f t="shared" si="232"/>
        <v>3.8354618439505439E-2</v>
      </c>
      <c r="M902" s="20">
        <f t="shared" si="237"/>
        <v>0.83506680686926715</v>
      </c>
      <c r="N902" s="1">
        <f t="shared" ref="N902:N965" si="242">N901+(K901*$W$18)+(0.5*M901*$W$18^2)</f>
        <v>224.60930524881064</v>
      </c>
      <c r="P902" s="20">
        <f t="shared" ref="P902:P965" si="243">P901+(R901*$W$18)</f>
        <v>-27.289316256879342</v>
      </c>
      <c r="Q902" s="20">
        <f t="shared" si="238"/>
        <v>-0.15917967743061201</v>
      </c>
      <c r="R902" s="20">
        <f t="shared" si="239"/>
        <v>-3.4657016640673199</v>
      </c>
      <c r="S902" s="20">
        <f t="shared" ref="S902:S965" si="244">S901+(P901*$W$18)+(0.5*R901*$W$18^2)</f>
        <v>27.921625222217923</v>
      </c>
      <c r="T902" s="1">
        <f t="shared" si="229"/>
        <v>0</v>
      </c>
    </row>
    <row r="903" spans="1:20" x14ac:dyDescent="0.25">
      <c r="A903" s="20">
        <f t="shared" si="240"/>
        <v>8.979999999999853</v>
      </c>
      <c r="C903" s="20">
        <f t="shared" si="230"/>
        <v>32.401812616941172</v>
      </c>
      <c r="D903" s="20">
        <f t="shared" si="233"/>
        <v>0.22551503566625428</v>
      </c>
      <c r="E903" s="20">
        <f t="shared" si="234"/>
        <v>4.9099724725942586</v>
      </c>
      <c r="F903" s="20">
        <f t="shared" si="235"/>
        <v>0.1894326299596536</v>
      </c>
      <c r="G903" s="20">
        <f t="shared" si="236"/>
        <v>4.1243768769791771</v>
      </c>
      <c r="I903" s="20">
        <f t="shared" si="231"/>
        <v>-1.0033668537212701</v>
      </c>
      <c r="K903" s="20">
        <f t="shared" si="241"/>
        <v>17.414877128803749</v>
      </c>
      <c r="L903" s="20">
        <f t="shared" si="232"/>
        <v>3.8539062492808543E-2</v>
      </c>
      <c r="M903" s="20">
        <f t="shared" si="237"/>
        <v>0.83908257114758422</v>
      </c>
      <c r="N903" s="1">
        <f t="shared" si="242"/>
        <v>224.78341226675835</v>
      </c>
      <c r="P903" s="20">
        <f t="shared" si="243"/>
        <v>-27.323973273520014</v>
      </c>
      <c r="Q903" s="20">
        <f t="shared" si="238"/>
        <v>-0.15858615427752409</v>
      </c>
      <c r="R903" s="20">
        <f t="shared" si="239"/>
        <v>-3.4527793223932961</v>
      </c>
      <c r="S903" s="20">
        <f t="shared" si="244"/>
        <v>27.648558774565927</v>
      </c>
      <c r="T903" s="1">
        <f t="shared" ref="T903:T966" si="245">IF(AND(S902&gt;0,S903&lt;0),(-1*S902*(N903-N902)/(S903-S902)+N902),0)</f>
        <v>0</v>
      </c>
    </row>
    <row r="904" spans="1:20" x14ac:dyDescent="0.25">
      <c r="A904" s="20">
        <f t="shared" si="240"/>
        <v>8.9899999999998528</v>
      </c>
      <c r="C904" s="20">
        <f t="shared" si="230"/>
        <v>32.435441215341385</v>
      </c>
      <c r="D904" s="20">
        <f t="shared" si="233"/>
        <v>0.22598338539108673</v>
      </c>
      <c r="E904" s="20">
        <f t="shared" si="234"/>
        <v>4.9201695055755872</v>
      </c>
      <c r="F904" s="20">
        <f t="shared" si="235"/>
        <v>0.18982604372851286</v>
      </c>
      <c r="G904" s="20">
        <f t="shared" si="236"/>
        <v>4.1329423846834938</v>
      </c>
      <c r="I904" s="20">
        <f t="shared" si="231"/>
        <v>-1.0037208387231922</v>
      </c>
      <c r="K904" s="20">
        <f t="shared" si="241"/>
        <v>17.423267954515225</v>
      </c>
      <c r="L904" s="20">
        <f t="shared" si="232"/>
        <v>3.8722671739419984E-2</v>
      </c>
      <c r="M904" s="20">
        <f t="shared" si="237"/>
        <v>0.84308015979577589</v>
      </c>
      <c r="N904" s="1">
        <f t="shared" si="242"/>
        <v>224.95760299217494</v>
      </c>
      <c r="P904" s="20">
        <f t="shared" si="243"/>
        <v>-27.358501066743948</v>
      </c>
      <c r="Q904" s="20">
        <f t="shared" si="238"/>
        <v>-0.15799344415924527</v>
      </c>
      <c r="R904" s="20">
        <f t="shared" si="239"/>
        <v>-3.4398746823262631</v>
      </c>
      <c r="S904" s="20">
        <f t="shared" si="244"/>
        <v>27.375146402864608</v>
      </c>
      <c r="T904" s="1">
        <f t="shared" si="245"/>
        <v>0</v>
      </c>
    </row>
    <row r="905" spans="1:20" x14ac:dyDescent="0.25">
      <c r="A905" s="20">
        <f t="shared" si="240"/>
        <v>8.9999999999998526</v>
      </c>
      <c r="C905" s="20">
        <f t="shared" si="230"/>
        <v>32.468986459697327</v>
      </c>
      <c r="D905" s="20">
        <f t="shared" si="233"/>
        <v>0.22645105825892631</v>
      </c>
      <c r="E905" s="20">
        <f t="shared" si="234"/>
        <v>4.9303518018490378</v>
      </c>
      <c r="F905" s="20">
        <f t="shared" si="235"/>
        <v>0.19021888893749808</v>
      </c>
      <c r="G905" s="20">
        <f t="shared" si="236"/>
        <v>4.1414955135531919</v>
      </c>
      <c r="I905" s="20">
        <f t="shared" si="231"/>
        <v>-1.0040709179436005</v>
      </c>
      <c r="K905" s="20">
        <f t="shared" si="241"/>
        <v>17.431698756113182</v>
      </c>
      <c r="L905" s="20">
        <f t="shared" si="232"/>
        <v>3.8905444070707521E-2</v>
      </c>
      <c r="M905" s="20">
        <f t="shared" si="237"/>
        <v>0.8470595269041481</v>
      </c>
      <c r="N905" s="1">
        <f t="shared" si="242"/>
        <v>225.13187782572808</v>
      </c>
      <c r="P905" s="20">
        <f t="shared" si="243"/>
        <v>-27.392899813567212</v>
      </c>
      <c r="Q905" s="20">
        <f t="shared" si="238"/>
        <v>-0.1574015518439662</v>
      </c>
      <c r="R905" s="20">
        <f t="shared" si="239"/>
        <v>-3.4269878476805182</v>
      </c>
      <c r="S905" s="20">
        <f t="shared" si="244"/>
        <v>27.101389398463052</v>
      </c>
      <c r="T905" s="1">
        <f t="shared" si="245"/>
        <v>0</v>
      </c>
    </row>
    <row r="906" spans="1:20" x14ac:dyDescent="0.25">
      <c r="A906" s="20">
        <f t="shared" si="240"/>
        <v>9.0099999999998523</v>
      </c>
      <c r="C906" s="20">
        <f t="shared" si="230"/>
        <v>32.502448281953619</v>
      </c>
      <c r="D906" s="20">
        <f t="shared" si="233"/>
        <v>0.2269180497158301</v>
      </c>
      <c r="E906" s="20">
        <f t="shared" si="234"/>
        <v>4.9405192622649707</v>
      </c>
      <c r="F906" s="20">
        <f t="shared" si="235"/>
        <v>0.19061116176129728</v>
      </c>
      <c r="G906" s="20">
        <f t="shared" si="236"/>
        <v>4.1500361803025756</v>
      </c>
      <c r="I906" s="20">
        <f t="shared" si="231"/>
        <v>-1.0044171138842115</v>
      </c>
      <c r="K906" s="20">
        <f t="shared" si="241"/>
        <v>17.440169351382224</v>
      </c>
      <c r="L906" s="20">
        <f t="shared" si="232"/>
        <v>3.9087377414601998E-2</v>
      </c>
      <c r="M906" s="20">
        <f t="shared" si="237"/>
        <v>0.85102062735906814</v>
      </c>
      <c r="N906" s="1">
        <f t="shared" si="242"/>
        <v>225.30623716626556</v>
      </c>
      <c r="P906" s="20">
        <f t="shared" si="243"/>
        <v>-27.427169692044018</v>
      </c>
      <c r="Q906" s="20">
        <f t="shared" si="238"/>
        <v>-0.15681048206404025</v>
      </c>
      <c r="R906" s="20">
        <f t="shared" si="239"/>
        <v>-3.4141189214900991</v>
      </c>
      <c r="S906" s="20">
        <f t="shared" si="244"/>
        <v>26.827289050934993</v>
      </c>
      <c r="T906" s="1">
        <f t="shared" si="245"/>
        <v>0</v>
      </c>
    </row>
    <row r="907" spans="1:20" x14ac:dyDescent="0.25">
      <c r="A907" s="20">
        <f t="shared" si="240"/>
        <v>9.0199999999998521</v>
      </c>
      <c r="C907" s="20">
        <f t="shared" si="230"/>
        <v>32.53582661656079</v>
      </c>
      <c r="D907" s="20">
        <f t="shared" si="233"/>
        <v>0.22738435524793257</v>
      </c>
      <c r="E907" s="20">
        <f t="shared" si="234"/>
        <v>4.9506717885463223</v>
      </c>
      <c r="F907" s="20">
        <f t="shared" si="235"/>
        <v>0.19100285840826337</v>
      </c>
      <c r="G907" s="20">
        <f t="shared" si="236"/>
        <v>4.1585643023789105</v>
      </c>
      <c r="I907" s="20">
        <f t="shared" si="231"/>
        <v>-1.0047594489232321</v>
      </c>
      <c r="K907" s="20">
        <f t="shared" si="241"/>
        <v>17.448679557655815</v>
      </c>
      <c r="L907" s="20">
        <f t="shared" si="232"/>
        <v>3.9268469735535591E-2</v>
      </c>
      <c r="M907" s="20">
        <f t="shared" si="237"/>
        <v>0.85496341684161969</v>
      </c>
      <c r="N907" s="1">
        <f t="shared" si="242"/>
        <v>225.48068141081075</v>
      </c>
      <c r="P907" s="20">
        <f t="shared" si="243"/>
        <v>-27.461310881258918</v>
      </c>
      <c r="Q907" s="20">
        <f t="shared" si="238"/>
        <v>-0.15622023951603897</v>
      </c>
      <c r="R907" s="20">
        <f t="shared" si="239"/>
        <v>-3.4012680060099929</v>
      </c>
      <c r="S907" s="20">
        <f t="shared" si="244"/>
        <v>26.552846648068478</v>
      </c>
      <c r="T907" s="1">
        <f t="shared" si="245"/>
        <v>0</v>
      </c>
    </row>
    <row r="908" spans="1:20" x14ac:dyDescent="0.25">
      <c r="A908" s="20">
        <f t="shared" si="240"/>
        <v>9.0299999999998519</v>
      </c>
      <c r="C908" s="20">
        <f t="shared" si="230"/>
        <v>32.569121400453909</v>
      </c>
      <c r="D908" s="20">
        <f t="shared" si="233"/>
        <v>0.22784997038134999</v>
      </c>
      <c r="E908" s="20">
        <f t="shared" si="234"/>
        <v>4.9608092832865234</v>
      </c>
      <c r="F908" s="20">
        <f t="shared" si="235"/>
        <v>0.19139397512033401</v>
      </c>
      <c r="G908" s="20">
        <f t="shared" si="236"/>
        <v>4.16707979796068</v>
      </c>
      <c r="I908" s="20">
        <f t="shared" si="231"/>
        <v>-1.0050979453161115</v>
      </c>
      <c r="K908" s="20">
        <f t="shared" si="241"/>
        <v>17.457229191824233</v>
      </c>
      <c r="L908" s="20">
        <f t="shared" si="232"/>
        <v>3.9448719034377425E-2</v>
      </c>
      <c r="M908" s="20">
        <f t="shared" si="237"/>
        <v>0.85888785182620131</v>
      </c>
      <c r="N908" s="1">
        <f t="shared" si="242"/>
        <v>225.65521095455816</v>
      </c>
      <c r="P908" s="20">
        <f t="shared" si="243"/>
        <v>-27.495323561319019</v>
      </c>
      <c r="Q908" s="20">
        <f t="shared" si="238"/>
        <v>-0.15563082886081014</v>
      </c>
      <c r="R908" s="20">
        <f t="shared" si="239"/>
        <v>-3.3884352027173992</v>
      </c>
      <c r="S908" s="20">
        <f t="shared" si="244"/>
        <v>26.278063475855589</v>
      </c>
      <c r="T908" s="1">
        <f t="shared" si="245"/>
        <v>0</v>
      </c>
    </row>
    <row r="909" spans="1:20" x14ac:dyDescent="0.25">
      <c r="A909" s="20">
        <f t="shared" si="240"/>
        <v>9.0399999999998517</v>
      </c>
      <c r="C909" s="20">
        <f t="shared" si="230"/>
        <v>32.602332573031411</v>
      </c>
      <c r="D909" s="20">
        <f t="shared" si="233"/>
        <v>0.22831489068208496</v>
      </c>
      <c r="E909" s="20">
        <f t="shared" si="234"/>
        <v>4.9709316499474197</v>
      </c>
      <c r="F909" s="20">
        <f t="shared" si="235"/>
        <v>0.19178450817295137</v>
      </c>
      <c r="G909" s="20">
        <f t="shared" si="236"/>
        <v>4.1755825859558326</v>
      </c>
      <c r="I909" s="20">
        <f t="shared" si="231"/>
        <v>-1.00543262519629</v>
      </c>
      <c r="K909" s="20">
        <f t="shared" si="241"/>
        <v>17.465818070342493</v>
      </c>
      <c r="L909" s="20">
        <f t="shared" si="232"/>
        <v>3.9628123348367558E-2</v>
      </c>
      <c r="M909" s="20">
        <f t="shared" si="237"/>
        <v>0.86279388957908909</v>
      </c>
      <c r="N909" s="1">
        <f t="shared" si="242"/>
        <v>225.829826190869</v>
      </c>
      <c r="P909" s="20">
        <f t="shared" si="243"/>
        <v>-27.529207913346191</v>
      </c>
      <c r="Q909" s="20">
        <f t="shared" si="238"/>
        <v>-0.15504225472353533</v>
      </c>
      <c r="R909" s="20">
        <f t="shared" si="239"/>
        <v>-3.3756206123129835</v>
      </c>
      <c r="S909" s="20">
        <f t="shared" si="244"/>
        <v>26.002940818482262</v>
      </c>
      <c r="T909" s="1">
        <f t="shared" si="245"/>
        <v>0</v>
      </c>
    </row>
    <row r="910" spans="1:20" x14ac:dyDescent="0.25">
      <c r="A910" s="20">
        <f t="shared" si="240"/>
        <v>9.0499999999998515</v>
      </c>
      <c r="C910" s="20">
        <f t="shared" si="230"/>
        <v>32.635460076134009</v>
      </c>
      <c r="D910" s="20">
        <f t="shared" si="233"/>
        <v>0.22877911175592805</v>
      </c>
      <c r="E910" s="20">
        <f t="shared" si="234"/>
        <v>4.9810387928571318</v>
      </c>
      <c r="F910" s="20">
        <f t="shared" si="235"/>
        <v>0.19217445387497958</v>
      </c>
      <c r="G910" s="20">
        <f t="shared" si="236"/>
        <v>4.1840725859999912</v>
      </c>
      <c r="I910" s="20">
        <f t="shared" si="231"/>
        <v>-1.005763510575941</v>
      </c>
      <c r="K910" s="20">
        <f t="shared" si="241"/>
        <v>17.474446009238285</v>
      </c>
      <c r="L910" s="20">
        <f t="shared" si="232"/>
        <v>3.9806680751047305E-2</v>
      </c>
      <c r="M910" s="20">
        <f t="shared" si="237"/>
        <v>0.86668148815691937</v>
      </c>
      <c r="N910" s="1">
        <f t="shared" si="242"/>
        <v>226.0045275112669</v>
      </c>
      <c r="P910" s="20">
        <f t="shared" si="243"/>
        <v>-27.562964119469321</v>
      </c>
      <c r="Q910" s="20">
        <f t="shared" si="238"/>
        <v>-0.15445452169379015</v>
      </c>
      <c r="R910" s="20">
        <f t="shared" si="239"/>
        <v>-3.3628243347221893</v>
      </c>
      <c r="S910" s="20">
        <f t="shared" si="244"/>
        <v>25.727479958318185</v>
      </c>
      <c r="T910" s="1">
        <f t="shared" si="245"/>
        <v>0</v>
      </c>
    </row>
    <row r="911" spans="1:20" x14ac:dyDescent="0.25">
      <c r="A911" s="20">
        <f t="shared" si="240"/>
        <v>9.0599999999998513</v>
      </c>
      <c r="C911" s="20">
        <f t="shared" si="230"/>
        <v>32.668503854023811</v>
      </c>
      <c r="D911" s="20">
        <f t="shared" si="233"/>
        <v>0.2292426292483607</v>
      </c>
      <c r="E911" s="20">
        <f t="shared" si="234"/>
        <v>4.9911306172079408</v>
      </c>
      <c r="F911" s="20">
        <f t="shared" si="235"/>
        <v>0.19256380856862299</v>
      </c>
      <c r="G911" s="20">
        <f t="shared" si="236"/>
        <v>4.1925497184546696</v>
      </c>
      <c r="I911" s="20">
        <f t="shared" si="231"/>
        <v>-1.0060906233467126</v>
      </c>
      <c r="K911" s="20">
        <f t="shared" si="241"/>
        <v>17.483112824119853</v>
      </c>
      <c r="L911" s="20">
        <f t="shared" si="232"/>
        <v>3.9984389352188551E-2</v>
      </c>
      <c r="M911" s="20">
        <f t="shared" si="237"/>
        <v>0.87055060640515025</v>
      </c>
      <c r="N911" s="1">
        <f t="shared" si="242"/>
        <v>226.17931530543368</v>
      </c>
      <c r="P911" s="20">
        <f t="shared" si="243"/>
        <v>-27.596592362816544</v>
      </c>
      <c r="Q911" s="20">
        <f t="shared" si="238"/>
        <v>-0.15386763432560269</v>
      </c>
      <c r="R911" s="20">
        <f t="shared" si="239"/>
        <v>-3.3500464690965099</v>
      </c>
      <c r="S911" s="20">
        <f t="shared" si="244"/>
        <v>25.451682175906754</v>
      </c>
      <c r="T911" s="1">
        <f t="shared" si="245"/>
        <v>0</v>
      </c>
    </row>
    <row r="912" spans="1:20" x14ac:dyDescent="0.25">
      <c r="A912" s="20">
        <f t="shared" si="240"/>
        <v>9.0699999999998511</v>
      </c>
      <c r="C912" s="20">
        <f t="shared" si="230"/>
        <v>32.701463853363499</v>
      </c>
      <c r="D912" s="20">
        <f t="shared" si="233"/>
        <v>0.22970543884445424</v>
      </c>
      <c r="E912" s="20">
        <f t="shared" si="234"/>
        <v>5.001207029054088</v>
      </c>
      <c r="F912" s="20">
        <f t="shared" si="235"/>
        <v>0.19295256862934157</v>
      </c>
      <c r="G912" s="20">
        <f t="shared" si="236"/>
        <v>4.2010139044054338</v>
      </c>
      <c r="I912" s="20">
        <f t="shared" si="231"/>
        <v>-1.0064139852804603</v>
      </c>
      <c r="K912" s="20">
        <f t="shared" si="241"/>
        <v>17.491818330183904</v>
      </c>
      <c r="L912" s="20">
        <f t="shared" si="232"/>
        <v>4.0161247297719263E-2</v>
      </c>
      <c r="M912" s="20">
        <f t="shared" si="237"/>
        <v>0.8744012039564395</v>
      </c>
      <c r="N912" s="1">
        <f t="shared" si="242"/>
        <v>226.35418996120521</v>
      </c>
      <c r="P912" s="20">
        <f t="shared" si="243"/>
        <v>-27.630092827507511</v>
      </c>
      <c r="Q912" s="20">
        <f t="shared" si="238"/>
        <v>-0.15328159713751593</v>
      </c>
      <c r="R912" s="20">
        <f t="shared" si="239"/>
        <v>-3.3372871138148472</v>
      </c>
      <c r="S912" s="20">
        <f t="shared" si="244"/>
        <v>25.175548749955134</v>
      </c>
      <c r="T912" s="1">
        <f t="shared" si="245"/>
        <v>0</v>
      </c>
    </row>
    <row r="913" spans="1:20" x14ac:dyDescent="0.25">
      <c r="A913" s="20">
        <f t="shared" si="240"/>
        <v>9.0799999999998509</v>
      </c>
      <c r="C913" s="20">
        <f t="shared" si="230"/>
        <v>32.734340023195749</v>
      </c>
      <c r="D913" s="20">
        <f t="shared" si="233"/>
        <v>0.23016753626877057</v>
      </c>
      <c r="E913" s="20">
        <f t="shared" si="234"/>
        <v>5.0112679353096139</v>
      </c>
      <c r="F913" s="20">
        <f t="shared" si="235"/>
        <v>0.19334073046576727</v>
      </c>
      <c r="G913" s="20">
        <f t="shared" si="236"/>
        <v>4.2094650656600754</v>
      </c>
      <c r="I913" s="20">
        <f t="shared" si="231"/>
        <v>-1.0067336180299795</v>
      </c>
      <c r="K913" s="20">
        <f t="shared" si="241"/>
        <v>17.500562342223468</v>
      </c>
      <c r="L913" s="20">
        <f t="shared" si="232"/>
        <v>4.0337252769647905E-2</v>
      </c>
      <c r="M913" s="20">
        <f t="shared" si="237"/>
        <v>0.8782332412289986</v>
      </c>
      <c r="N913" s="1">
        <f t="shared" si="242"/>
        <v>226.52915186456724</v>
      </c>
      <c r="P913" s="20">
        <f t="shared" si="243"/>
        <v>-27.663465698645659</v>
      </c>
      <c r="Q913" s="20">
        <f t="shared" si="238"/>
        <v>-0.15269641461264771</v>
      </c>
      <c r="R913" s="20">
        <f t="shared" si="239"/>
        <v>-3.3245463664848187</v>
      </c>
      <c r="S913" s="20">
        <f t="shared" si="244"/>
        <v>24.899080957324369</v>
      </c>
      <c r="T913" s="1">
        <f t="shared" si="245"/>
        <v>0</v>
      </c>
    </row>
    <row r="914" spans="1:20" x14ac:dyDescent="0.25">
      <c r="A914" s="20">
        <f t="shared" si="240"/>
        <v>9.0899999999998506</v>
      </c>
      <c r="C914" s="20">
        <f t="shared" si="230"/>
        <v>32.767132314922698</v>
      </c>
      <c r="D914" s="20">
        <f t="shared" si="233"/>
        <v>0.23062891728525983</v>
      </c>
      <c r="E914" s="20">
        <f t="shared" si="234"/>
        <v>5.0213132437461319</v>
      </c>
      <c r="F914" s="20">
        <f t="shared" si="235"/>
        <v>0.19372829051961826</v>
      </c>
      <c r="G914" s="20">
        <f t="shared" si="236"/>
        <v>4.2179031247467513</v>
      </c>
      <c r="I914" s="20">
        <f t="shared" si="231"/>
        <v>-1.0070495431297313</v>
      </c>
      <c r="K914" s="20">
        <f t="shared" si="241"/>
        <v>17.509344674635759</v>
      </c>
      <c r="L914" s="20">
        <f t="shared" si="232"/>
        <v>4.0512403985984866E-2</v>
      </c>
      <c r="M914" s="20">
        <f t="shared" si="237"/>
        <v>0.8820466794248828</v>
      </c>
      <c r="N914" s="1">
        <f t="shared" si="242"/>
        <v>226.70420139965154</v>
      </c>
      <c r="P914" s="20">
        <f t="shared" si="243"/>
        <v>-27.696711162310507</v>
      </c>
      <c r="Q914" s="20">
        <f t="shared" si="238"/>
        <v>-0.15211209119875363</v>
      </c>
      <c r="R914" s="20">
        <f t="shared" si="239"/>
        <v>-3.3118243239441245</v>
      </c>
      <c r="S914" s="20">
        <f t="shared" si="244"/>
        <v>24.622280073019589</v>
      </c>
      <c r="T914" s="1">
        <f t="shared" si="245"/>
        <v>0</v>
      </c>
    </row>
    <row r="915" spans="1:20" x14ac:dyDescent="0.25">
      <c r="A915" s="20">
        <f t="shared" si="240"/>
        <v>9.0999999999998504</v>
      </c>
      <c r="C915" s="20">
        <f t="shared" si="230"/>
        <v>32.799840682285577</v>
      </c>
      <c r="D915" s="20">
        <f t="shared" si="233"/>
        <v>0.23108957769715752</v>
      </c>
      <c r="E915" s="20">
        <f t="shared" si="234"/>
        <v>5.0313428629905843</v>
      </c>
      <c r="F915" s="20">
        <f t="shared" si="235"/>
        <v>0.1941152452656123</v>
      </c>
      <c r="G915" s="20">
        <f t="shared" si="236"/>
        <v>4.2263280049120899</v>
      </c>
      <c r="I915" s="20">
        <f t="shared" si="231"/>
        <v>-1.0073617819965661</v>
      </c>
      <c r="K915" s="20">
        <f t="shared" si="241"/>
        <v>17.518165141430007</v>
      </c>
      <c r="L915" s="20">
        <f t="shared" si="232"/>
        <v>4.0686699200662091E-2</v>
      </c>
      <c r="M915" s="20">
        <f t="shared" si="237"/>
        <v>0.88584148052824063</v>
      </c>
      <c r="N915" s="1">
        <f t="shared" si="242"/>
        <v>226.87933894873186</v>
      </c>
      <c r="P915" s="20">
        <f t="shared" si="243"/>
        <v>-27.72982940554995</v>
      </c>
      <c r="Q915" s="20">
        <f t="shared" si="238"/>
        <v>-0.15152863130829058</v>
      </c>
      <c r="R915" s="20">
        <f t="shared" si="239"/>
        <v>-3.2991210822619332</v>
      </c>
      <c r="S915" s="20">
        <f t="shared" si="244"/>
        <v>24.345147370180285</v>
      </c>
      <c r="T915" s="1">
        <f t="shared" si="245"/>
        <v>0</v>
      </c>
    </row>
    <row r="916" spans="1:20" x14ac:dyDescent="0.25">
      <c r="A916" s="20">
        <f t="shared" si="240"/>
        <v>9.1099999999998502</v>
      </c>
      <c r="C916" s="20">
        <f t="shared" si="230"/>
        <v>32.832465081344537</v>
      </c>
      <c r="D916" s="20">
        <f t="shared" si="233"/>
        <v>0.23154951334688137</v>
      </c>
      <c r="E916" s="20">
        <f t="shared" si="234"/>
        <v>5.0413567025229993</v>
      </c>
      <c r="F916" s="20">
        <f t="shared" si="235"/>
        <v>0.19450159121138033</v>
      </c>
      <c r="G916" s="20">
        <f t="shared" si="236"/>
        <v>4.2347396301193196</v>
      </c>
      <c r="I916" s="20">
        <f t="shared" si="231"/>
        <v>-1.0076703559304394</v>
      </c>
      <c r="K916" s="20">
        <f t="shared" si="241"/>
        <v>17.527023556235289</v>
      </c>
      <c r="L916" s="20">
        <f t="shared" si="232"/>
        <v>4.0860136703449554E-2</v>
      </c>
      <c r="M916" s="20">
        <f t="shared" si="237"/>
        <v>0.88961760730349559</v>
      </c>
      <c r="N916" s="1">
        <f t="shared" si="242"/>
        <v>227.05456489222018</v>
      </c>
      <c r="P916" s="20">
        <f t="shared" si="243"/>
        <v>-27.762820616372569</v>
      </c>
      <c r="Q916" s="20">
        <f t="shared" si="238"/>
        <v>-0.15094603931847939</v>
      </c>
      <c r="R916" s="20">
        <f t="shared" si="239"/>
        <v>-3.2864367367402436</v>
      </c>
      <c r="S916" s="20">
        <f t="shared" si="244"/>
        <v>24.067684120070673</v>
      </c>
      <c r="T916" s="1">
        <f t="shared" si="245"/>
        <v>0</v>
      </c>
    </row>
    <row r="917" spans="1:20" x14ac:dyDescent="0.25">
      <c r="A917" s="20">
        <f t="shared" si="240"/>
        <v>9.11999999999985</v>
      </c>
      <c r="C917" s="20">
        <f t="shared" si="230"/>
        <v>32.865005470458513</v>
      </c>
      <c r="D917" s="20">
        <f t="shared" si="233"/>
        <v>0.23200872011592577</v>
      </c>
      <c r="E917" s="20">
        <f t="shared" si="234"/>
        <v>5.0513546726741954</v>
      </c>
      <c r="F917" s="20">
        <f t="shared" si="235"/>
        <v>0.19488732489737765</v>
      </c>
      <c r="G917" s="20">
        <f t="shared" si="236"/>
        <v>4.2431379250463239</v>
      </c>
      <c r="I917" s="20">
        <f t="shared" si="231"/>
        <v>-1.0079752861151281</v>
      </c>
      <c r="K917" s="20">
        <f t="shared" si="241"/>
        <v>17.535919732308322</v>
      </c>
      <c r="L917" s="20">
        <f t="shared" si="232"/>
        <v>4.1032714819871169E-2</v>
      </c>
      <c r="M917" s="20">
        <f t="shared" si="237"/>
        <v>0.89337502329351559</v>
      </c>
      <c r="N917" s="1">
        <f t="shared" si="242"/>
        <v>227.22987960866291</v>
      </c>
      <c r="P917" s="20">
        <f t="shared" si="243"/>
        <v>-27.795684983739971</v>
      </c>
      <c r="Q917" s="20">
        <f t="shared" si="238"/>
        <v>-0.1503643195713707</v>
      </c>
      <c r="R917" s="20">
        <f t="shared" si="239"/>
        <v>-3.2737713819153211</v>
      </c>
      <c r="S917" s="20">
        <f t="shared" si="244"/>
        <v>23.789891592070109</v>
      </c>
      <c r="T917" s="1">
        <f t="shared" si="245"/>
        <v>0</v>
      </c>
    </row>
    <row r="918" spans="1:20" x14ac:dyDescent="0.25">
      <c r="A918" s="20">
        <f t="shared" si="240"/>
        <v>9.1299999999998498</v>
      </c>
      <c r="C918" s="20">
        <f t="shared" si="230"/>
        <v>32.897461810265298</v>
      </c>
      <c r="D918" s="20">
        <f t="shared" si="233"/>
        <v>0.2324671939247564</v>
      </c>
      <c r="E918" s="20">
        <f t="shared" si="234"/>
        <v>5.0613366846234795</v>
      </c>
      <c r="F918" s="20">
        <f t="shared" si="235"/>
        <v>0.19527244289679538</v>
      </c>
      <c r="G918" s="20">
        <f t="shared" si="236"/>
        <v>4.2515228150837228</v>
      </c>
      <c r="I918" s="20">
        <f t="shared" si="231"/>
        <v>-1.0082765936189388</v>
      </c>
      <c r="K918" s="20">
        <f t="shared" si="241"/>
        <v>17.544853482541257</v>
      </c>
      <c r="L918" s="20">
        <f t="shared" si="232"/>
        <v>4.1204431911116807E-2</v>
      </c>
      <c r="M918" s="20">
        <f t="shared" si="237"/>
        <v>0.89711369281769671</v>
      </c>
      <c r="N918" s="1">
        <f t="shared" si="242"/>
        <v>227.40528347473716</v>
      </c>
      <c r="P918" s="20">
        <f t="shared" si="243"/>
        <v>-27.828422697559123</v>
      </c>
      <c r="Q918" s="20">
        <f t="shared" si="238"/>
        <v>-0.14978347637390949</v>
      </c>
      <c r="R918" s="20">
        <f t="shared" si="239"/>
        <v>-3.2611251115591005</v>
      </c>
      <c r="S918" s="20">
        <f t="shared" si="244"/>
        <v>23.511771053663615</v>
      </c>
      <c r="T918" s="1">
        <f t="shared" si="245"/>
        <v>0</v>
      </c>
    </row>
    <row r="919" spans="1:20" x14ac:dyDescent="0.25">
      <c r="A919" s="20">
        <f t="shared" si="240"/>
        <v>9.1399999999998496</v>
      </c>
      <c r="C919" s="20">
        <f t="shared" si="230"/>
        <v>32.92983406366173</v>
      </c>
      <c r="D919" s="20">
        <f t="shared" si="233"/>
        <v>0.2329249307327034</v>
      </c>
      <c r="E919" s="20">
        <f t="shared" si="234"/>
        <v>5.071302650396329</v>
      </c>
      <c r="F919" s="20">
        <f t="shared" si="235"/>
        <v>0.19565694181547086</v>
      </c>
      <c r="G919" s="20">
        <f t="shared" si="236"/>
        <v>4.2598942263329169</v>
      </c>
      <c r="I919" s="20">
        <f t="shared" si="231"/>
        <v>-1.0085742993954132</v>
      </c>
      <c r="K919" s="20">
        <f t="shared" si="241"/>
        <v>17.553824619469435</v>
      </c>
      <c r="L919" s="20">
        <f t="shared" si="232"/>
        <v>4.1375286373953282E-2</v>
      </c>
      <c r="M919" s="20">
        <f t="shared" si="237"/>
        <v>0.90083358097002575</v>
      </c>
      <c r="N919" s="1">
        <f t="shared" si="242"/>
        <v>227.58077686524723</v>
      </c>
      <c r="P919" s="20">
        <f t="shared" si="243"/>
        <v>-27.861033948674713</v>
      </c>
      <c r="Q919" s="20">
        <f t="shared" si="238"/>
        <v>-0.14920351399800114</v>
      </c>
      <c r="R919" s="20">
        <f t="shared" si="239"/>
        <v>-3.2484980186806256</v>
      </c>
      <c r="S919" s="20">
        <f t="shared" si="244"/>
        <v>23.233323770432449</v>
      </c>
      <c r="T919" s="1">
        <f t="shared" si="245"/>
        <v>0</v>
      </c>
    </row>
    <row r="920" spans="1:20" x14ac:dyDescent="0.25">
      <c r="A920" s="20">
        <f t="shared" si="240"/>
        <v>9.1499999999998494</v>
      </c>
      <c r="C920" s="20">
        <f t="shared" si="230"/>
        <v>32.962122195783977</v>
      </c>
      <c r="D920" s="20">
        <f t="shared" si="233"/>
        <v>0.233381926537853</v>
      </c>
      <c r="E920" s="20">
        <f t="shared" si="234"/>
        <v>5.0812524828620296</v>
      </c>
      <c r="F920" s="20">
        <f t="shared" si="235"/>
        <v>0.19604081829179651</v>
      </c>
      <c r="G920" s="20">
        <f t="shared" si="236"/>
        <v>4.2682520856041046</v>
      </c>
      <c r="I920" s="20">
        <f t="shared" si="231"/>
        <v>-1.0088684242840296</v>
      </c>
      <c r="K920" s="20">
        <f t="shared" si="241"/>
        <v>17.562832955279134</v>
      </c>
      <c r="L920" s="20">
        <f t="shared" si="232"/>
        <v>4.1545276640632858E-2</v>
      </c>
      <c r="M920" s="20">
        <f t="shared" si="237"/>
        <v>0.90453465361708818</v>
      </c>
      <c r="N920" s="1">
        <f t="shared" si="242"/>
        <v>227.75636015312097</v>
      </c>
      <c r="P920" s="20">
        <f t="shared" si="243"/>
        <v>-27.893518928861518</v>
      </c>
      <c r="Q920" s="20">
        <f t="shared" si="238"/>
        <v>-0.14862443668057918</v>
      </c>
      <c r="R920" s="20">
        <f t="shared" si="239"/>
        <v>-3.2358901955275239</v>
      </c>
      <c r="S920" s="20">
        <f t="shared" si="244"/>
        <v>22.954551006044767</v>
      </c>
      <c r="T920" s="1">
        <f t="shared" si="245"/>
        <v>0</v>
      </c>
    </row>
    <row r="921" spans="1:20" x14ac:dyDescent="0.25">
      <c r="A921" s="20">
        <f t="shared" si="240"/>
        <v>9.1599999999998492</v>
      </c>
      <c r="C921" s="20">
        <f t="shared" si="230"/>
        <v>32.994326173988043</v>
      </c>
      <c r="D921" s="20">
        <f t="shared" si="233"/>
        <v>0.2338381773769396</v>
      </c>
      <c r="E921" s="20">
        <f t="shared" si="234"/>
        <v>5.091186095731322</v>
      </c>
      <c r="F921" s="20">
        <f t="shared" si="235"/>
        <v>0.19642406899662926</v>
      </c>
      <c r="G921" s="20">
        <f t="shared" si="236"/>
        <v>4.2765963204143098</v>
      </c>
      <c r="I921" s="20">
        <f t="shared" si="231"/>
        <v>-1.0091589890108996</v>
      </c>
      <c r="K921" s="20">
        <f t="shared" si="241"/>
        <v>17.571878301815307</v>
      </c>
      <c r="L921" s="20">
        <f t="shared" si="232"/>
        <v>4.1714401178799834E-2</v>
      </c>
      <c r="M921" s="20">
        <f t="shared" si="237"/>
        <v>0.90821687739603385</v>
      </c>
      <c r="N921" s="1">
        <f t="shared" si="242"/>
        <v>227.93203370940643</v>
      </c>
      <c r="P921" s="20">
        <f t="shared" si="243"/>
        <v>-27.925877830816791</v>
      </c>
      <c r="Q921" s="20">
        <f t="shared" si="238"/>
        <v>-0.14804624862367138</v>
      </c>
      <c r="R921" s="20">
        <f t="shared" si="239"/>
        <v>-3.2233017335874456</v>
      </c>
      <c r="S921" s="20">
        <f t="shared" si="244"/>
        <v>22.675454022246377</v>
      </c>
      <c r="T921" s="1">
        <f t="shared" si="245"/>
        <v>0</v>
      </c>
    </row>
    <row r="922" spans="1:20" x14ac:dyDescent="0.25">
      <c r="A922" s="20">
        <f t="shared" si="240"/>
        <v>9.1699999999998489</v>
      </c>
      <c r="C922" s="20">
        <f t="shared" si="230"/>
        <v>33.026445967830298</v>
      </c>
      <c r="D922" s="20">
        <f t="shared" si="233"/>
        <v>0.2342936793252352</v>
      </c>
      <c r="E922" s="20">
        <f t="shared" si="234"/>
        <v>5.1011034035540002</v>
      </c>
      <c r="F922" s="20">
        <f t="shared" si="235"/>
        <v>0.19680669063319756</v>
      </c>
      <c r="G922" s="20">
        <f t="shared" si="236"/>
        <v>4.2849268589853597</v>
      </c>
      <c r="I922" s="20">
        <f t="shared" si="231"/>
        <v>-1.0094460141894614</v>
      </c>
      <c r="K922" s="20">
        <f t="shared" si="241"/>
        <v>17.580960470589268</v>
      </c>
      <c r="L922" s="20">
        <f t="shared" si="232"/>
        <v>4.1882658491395094E-2</v>
      </c>
      <c r="M922" s="20">
        <f t="shared" si="237"/>
        <v>0.91188021971249933</v>
      </c>
      <c r="N922" s="1">
        <f t="shared" si="242"/>
        <v>228.10779790326845</v>
      </c>
      <c r="P922" s="20">
        <f t="shared" si="243"/>
        <v>-27.958110848152664</v>
      </c>
      <c r="Q922" s="20">
        <f t="shared" si="238"/>
        <v>-0.14746895399446935</v>
      </c>
      <c r="R922" s="20">
        <f t="shared" si="239"/>
        <v>-3.2107327235895791</v>
      </c>
      <c r="S922" s="20">
        <f t="shared" si="244"/>
        <v>22.396034078851528</v>
      </c>
      <c r="T922" s="1">
        <f t="shared" si="245"/>
        <v>0</v>
      </c>
    </row>
    <row r="923" spans="1:20" x14ac:dyDescent="0.25">
      <c r="A923" s="20">
        <f t="shared" si="240"/>
        <v>9.1799999999998487</v>
      </c>
      <c r="C923" s="20">
        <f t="shared" si="230"/>
        <v>33.058481549048224</v>
      </c>
      <c r="D923" s="20">
        <f t="shared" si="233"/>
        <v>0.23474842849643929</v>
      </c>
      <c r="E923" s="20">
        <f t="shared" si="234"/>
        <v>5.1110043217165098</v>
      </c>
      <c r="F923" s="20">
        <f t="shared" si="235"/>
        <v>0.197188679937009</v>
      </c>
      <c r="G923" s="20">
        <f t="shared" si="236"/>
        <v>4.2932436302418679</v>
      </c>
      <c r="I923" s="20">
        <f t="shared" si="231"/>
        <v>-1.0097295203211671</v>
      </c>
      <c r="K923" s="20">
        <f t="shared" si="241"/>
        <v>17.590079272786394</v>
      </c>
      <c r="L923" s="20">
        <f t="shared" si="232"/>
        <v>4.2050047116558339E-2</v>
      </c>
      <c r="M923" s="20">
        <f t="shared" si="237"/>
        <v>0.91552464873847905</v>
      </c>
      <c r="N923" s="1">
        <f t="shared" si="242"/>
        <v>228.28365310198535</v>
      </c>
      <c r="P923" s="20">
        <f t="shared" si="243"/>
        <v>-27.990218175388559</v>
      </c>
      <c r="Q923" s="20">
        <f t="shared" si="238"/>
        <v>-0.1468925569253966</v>
      </c>
      <c r="R923" s="20">
        <f t="shared" si="239"/>
        <v>-3.1981832555061311</v>
      </c>
      <c r="S923" s="20">
        <f t="shared" si="244"/>
        <v>22.116292433733822</v>
      </c>
      <c r="T923" s="1">
        <f t="shared" si="245"/>
        <v>0</v>
      </c>
    </row>
    <row r="924" spans="1:20" x14ac:dyDescent="0.25">
      <c r="A924" s="20">
        <f t="shared" si="240"/>
        <v>9.1899999999998485</v>
      </c>
      <c r="C924" s="20">
        <f t="shared" si="230"/>
        <v>33.090432891541226</v>
      </c>
      <c r="D924" s="20">
        <f t="shared" si="233"/>
        <v>0.2352024210425667</v>
      </c>
      <c r="E924" s="20">
        <f t="shared" si="234"/>
        <v>5.12088876643951</v>
      </c>
      <c r="F924" s="20">
        <f t="shared" si="235"/>
        <v>0.19757003367575601</v>
      </c>
      <c r="G924" s="20">
        <f t="shared" si="236"/>
        <v>4.3015465638091879</v>
      </c>
      <c r="I924" s="20">
        <f t="shared" si="231"/>
        <v>-1.010009527796168</v>
      </c>
      <c r="K924" s="20">
        <f t="shared" si="241"/>
        <v>17.599234519273779</v>
      </c>
      <c r="L924" s="20">
        <f t="shared" si="232"/>
        <v>4.2216565627528707E-2</v>
      </c>
      <c r="M924" s="20">
        <f t="shared" si="237"/>
        <v>0.91915013341016127</v>
      </c>
      <c r="N924" s="1">
        <f t="shared" si="242"/>
        <v>228.45959967094566</v>
      </c>
      <c r="P924" s="20">
        <f t="shared" si="243"/>
        <v>-28.022200007943621</v>
      </c>
      <c r="Q924" s="20">
        <f t="shared" si="238"/>
        <v>-0.14631706151417906</v>
      </c>
      <c r="R924" s="20">
        <f t="shared" si="239"/>
        <v>-3.1856534185538661</v>
      </c>
      <c r="S924" s="20">
        <f t="shared" si="244"/>
        <v>21.83623034281716</v>
      </c>
      <c r="T924" s="1">
        <f t="shared" si="245"/>
        <v>0</v>
      </c>
    </row>
    <row r="925" spans="1:20" x14ac:dyDescent="0.25">
      <c r="A925" s="20">
        <f t="shared" si="240"/>
        <v>9.1999999999998483</v>
      </c>
      <c r="C925" s="20">
        <f t="shared" si="230"/>
        <v>33.122299971351637</v>
      </c>
      <c r="D925" s="20">
        <f t="shared" si="233"/>
        <v>0.23565565315383546</v>
      </c>
      <c r="E925" s="20">
        <f t="shared" si="234"/>
        <v>5.1307566547754293</v>
      </c>
      <c r="F925" s="20">
        <f t="shared" si="235"/>
        <v>0.1979507486492218</v>
      </c>
      <c r="G925" s="20">
        <f t="shared" si="236"/>
        <v>4.3098355900113612</v>
      </c>
      <c r="I925" s="20">
        <f t="shared" si="231"/>
        <v>-1.0102860568939946</v>
      </c>
      <c r="K925" s="20">
        <f t="shared" si="241"/>
        <v>17.60842602060788</v>
      </c>
      <c r="L925" s="20">
        <f t="shared" si="232"/>
        <v>4.238221263254377E-2</v>
      </c>
      <c r="M925" s="20">
        <f t="shared" si="237"/>
        <v>0.92275664342572983</v>
      </c>
      <c r="N925" s="1">
        <f t="shared" si="242"/>
        <v>228.63563797364506</v>
      </c>
      <c r="P925" s="20">
        <f t="shared" si="243"/>
        <v>-28.05405654212916</v>
      </c>
      <c r="Q925" s="20">
        <f t="shared" si="238"/>
        <v>-0.14574247182391475</v>
      </c>
      <c r="R925" s="20">
        <f t="shared" si="239"/>
        <v>-3.1731433011956187</v>
      </c>
      <c r="S925" s="20">
        <f t="shared" si="244"/>
        <v>21.555849060066794</v>
      </c>
      <c r="T925" s="1">
        <f t="shared" si="245"/>
        <v>0</v>
      </c>
    </row>
    <row r="926" spans="1:20" x14ac:dyDescent="0.25">
      <c r="A926" s="20">
        <f t="shared" si="240"/>
        <v>9.2099999999998481</v>
      </c>
      <c r="C926" s="20">
        <f t="shared" si="230"/>
        <v>33.1540827666458</v>
      </c>
      <c r="D926" s="20">
        <f t="shared" si="233"/>
        <v>0.23610812105855325</v>
      </c>
      <c r="E926" s="20">
        <f t="shared" si="234"/>
        <v>5.1406079046059929</v>
      </c>
      <c r="F926" s="20">
        <f t="shared" si="235"/>
        <v>0.19833082168918473</v>
      </c>
      <c r="G926" s="20">
        <f t="shared" si="236"/>
        <v>4.3181106398690341</v>
      </c>
      <c r="I926" s="20">
        <f t="shared" si="231"/>
        <v>-1.0105591277842314</v>
      </c>
      <c r="K926" s="20">
        <f t="shared" si="241"/>
        <v>17.617653587042138</v>
      </c>
      <c r="L926" s="20">
        <f t="shared" si="232"/>
        <v>4.2546986774735424E-2</v>
      </c>
      <c r="M926" s="20">
        <f t="shared" si="237"/>
        <v>0.9263441492430966</v>
      </c>
      <c r="N926" s="1">
        <f t="shared" si="242"/>
        <v>228.81176837168329</v>
      </c>
      <c r="P926" s="20">
        <f t="shared" si="243"/>
        <v>-28.085787975141116</v>
      </c>
      <c r="Q926" s="20">
        <f t="shared" si="238"/>
        <v>-0.14516879188314508</v>
      </c>
      <c r="R926" s="20">
        <f t="shared" si="239"/>
        <v>-3.1606529911418479</v>
      </c>
      <c r="S926" s="20">
        <f t="shared" si="244"/>
        <v>21.275149837480445</v>
      </c>
      <c r="T926" s="1">
        <f t="shared" si="245"/>
        <v>0</v>
      </c>
    </row>
    <row r="927" spans="1:20" x14ac:dyDescent="0.25">
      <c r="A927" s="20">
        <f t="shared" si="240"/>
        <v>9.2199999999998479</v>
      </c>
      <c r="C927" s="20">
        <f t="shared" si="230"/>
        <v>33.185781257695297</v>
      </c>
      <c r="D927" s="20">
        <f t="shared" si="233"/>
        <v>0.23655982102300294</v>
      </c>
      <c r="E927" s="20">
        <f t="shared" si="234"/>
        <v>5.1504424346397331</v>
      </c>
      <c r="F927" s="20">
        <f t="shared" si="235"/>
        <v>0.19871024965932246</v>
      </c>
      <c r="G927" s="20">
        <f t="shared" si="236"/>
        <v>4.3263716450973755</v>
      </c>
      <c r="I927" s="20">
        <f t="shared" si="231"/>
        <v>-1.0108287605271897</v>
      </c>
      <c r="K927" s="20">
        <f t="shared" si="241"/>
        <v>17.626917028534571</v>
      </c>
      <c r="L927" s="20">
        <f t="shared" si="232"/>
        <v>4.2710886732025222E-2</v>
      </c>
      <c r="M927" s="20">
        <f t="shared" si="237"/>
        <v>0.92991262207762293</v>
      </c>
      <c r="N927" s="1">
        <f t="shared" si="242"/>
        <v>228.98799122476115</v>
      </c>
      <c r="P927" s="20">
        <f t="shared" si="243"/>
        <v>-28.117394505052534</v>
      </c>
      <c r="Q927" s="20">
        <f t="shared" si="238"/>
        <v>-0.14459602568592689</v>
      </c>
      <c r="R927" s="20">
        <f t="shared" si="239"/>
        <v>-3.1481825753522075</v>
      </c>
      <c r="S927" s="20">
        <f t="shared" si="244"/>
        <v>20.994133925079474</v>
      </c>
      <c r="T927" s="1">
        <f t="shared" si="245"/>
        <v>0</v>
      </c>
    </row>
    <row r="928" spans="1:20" x14ac:dyDescent="0.25">
      <c r="A928" s="20">
        <f t="shared" si="240"/>
        <v>9.2299999999998477</v>
      </c>
      <c r="C928" s="20">
        <f t="shared" si="230"/>
        <v>33.217395426858303</v>
      </c>
      <c r="D928" s="20">
        <f t="shared" si="233"/>
        <v>0.23701074935132743</v>
      </c>
      <c r="E928" s="20">
        <f t="shared" si="234"/>
        <v>5.1602601644094808</v>
      </c>
      <c r="F928" s="20">
        <f t="shared" si="235"/>
        <v>0.19908902945511506</v>
      </c>
      <c r="G928" s="20">
        <f t="shared" si="236"/>
        <v>4.3346185381039639</v>
      </c>
      <c r="I928" s="20">
        <f t="shared" si="231"/>
        <v>-1.0110949750745755</v>
      </c>
      <c r="K928" s="20">
        <f t="shared" si="241"/>
        <v>17.636216154755346</v>
      </c>
      <c r="L928" s="20">
        <f t="shared" si="232"/>
        <v>4.2873911217017557E-2</v>
      </c>
      <c r="M928" s="20">
        <f t="shared" si="237"/>
        <v>0.93346203389979443</v>
      </c>
      <c r="N928" s="1">
        <f t="shared" si="242"/>
        <v>229.16430689067758</v>
      </c>
      <c r="P928" s="20">
        <f t="shared" si="243"/>
        <v>-28.148876330806058</v>
      </c>
      <c r="Q928" s="20">
        <f t="shared" si="238"/>
        <v>-0.14402417719190463</v>
      </c>
      <c r="R928" s="20">
        <f t="shared" si="239"/>
        <v>-3.1357321400371139</v>
      </c>
      <c r="S928" s="20">
        <f t="shared" si="244"/>
        <v>20.71280257090018</v>
      </c>
      <c r="T928" s="1">
        <f t="shared" si="245"/>
        <v>0</v>
      </c>
    </row>
    <row r="929" spans="1:20" x14ac:dyDescent="0.25">
      <c r="A929" s="20">
        <f t="shared" si="240"/>
        <v>9.2399999999998474</v>
      </c>
      <c r="C929" s="20">
        <f t="shared" si="230"/>
        <v>33.248925258561066</v>
      </c>
      <c r="D929" s="20">
        <f t="shared" si="233"/>
        <v>0.23746090238541359</v>
      </c>
      <c r="E929" s="20">
        <f t="shared" si="234"/>
        <v>5.1700610142698364</v>
      </c>
      <c r="F929" s="20">
        <f t="shared" si="235"/>
        <v>0.19946715800374742</v>
      </c>
      <c r="G929" s="20">
        <f t="shared" si="236"/>
        <v>4.3428512519866631</v>
      </c>
      <c r="I929" s="20">
        <f t="shared" si="231"/>
        <v>-1.0113577912701508</v>
      </c>
      <c r="K929" s="20">
        <f t="shared" si="241"/>
        <v>17.645550775094343</v>
      </c>
      <c r="L929" s="20">
        <f t="shared" si="232"/>
        <v>4.3036058976890029E-2</v>
      </c>
      <c r="M929" s="20">
        <f t="shared" si="237"/>
        <v>0.93699235743283327</v>
      </c>
      <c r="N929" s="1">
        <f t="shared" si="242"/>
        <v>229.34071572532685</v>
      </c>
      <c r="P929" s="20">
        <f t="shared" si="243"/>
        <v>-28.180233652206429</v>
      </c>
      <c r="Q929" s="20">
        <f t="shared" si="238"/>
        <v>-0.14345325032638379</v>
      </c>
      <c r="R929" s="20">
        <f t="shared" si="239"/>
        <v>-3.1233017706593467</v>
      </c>
      <c r="S929" s="20">
        <f t="shared" si="244"/>
        <v>20.431157020985118</v>
      </c>
      <c r="T929" s="1">
        <f t="shared" si="245"/>
        <v>0</v>
      </c>
    </row>
    <row r="930" spans="1:20" x14ac:dyDescent="0.25">
      <c r="A930" s="20">
        <f t="shared" si="240"/>
        <v>9.2499999999998472</v>
      </c>
      <c r="C930" s="20">
        <f t="shared" si="230"/>
        <v>33.280370739279526</v>
      </c>
      <c r="D930" s="20">
        <f t="shared" si="233"/>
        <v>0.23791027650477564</v>
      </c>
      <c r="E930" s="20">
        <f t="shared" si="234"/>
        <v>5.1798449053946367</v>
      </c>
      <c r="F930" s="20">
        <f t="shared" si="235"/>
        <v>0.19984463226401153</v>
      </c>
      <c r="G930" s="20">
        <f t="shared" si="236"/>
        <v>4.3510697205314948</v>
      </c>
      <c r="I930" s="20">
        <f t="shared" si="231"/>
        <v>-1.0116172288503953</v>
      </c>
      <c r="K930" s="20">
        <f t="shared" si="241"/>
        <v>17.654920698668672</v>
      </c>
      <c r="L930" s="20">
        <f t="shared" si="232"/>
        <v>4.3197328793283668E-2</v>
      </c>
      <c r="M930" s="20">
        <f t="shared" si="237"/>
        <v>0.9405035661503085</v>
      </c>
      <c r="N930" s="1">
        <f t="shared" si="242"/>
        <v>229.51721808269565</v>
      </c>
      <c r="P930" s="20">
        <f t="shared" si="243"/>
        <v>-28.211466669913023</v>
      </c>
      <c r="Q930" s="20">
        <f t="shared" si="238"/>
        <v>-0.14288324898040378</v>
      </c>
      <c r="R930" s="20">
        <f t="shared" si="239"/>
        <v>-3.1108915519356364</v>
      </c>
      <c r="S930" s="20">
        <f t="shared" si="244"/>
        <v>20.149198519374522</v>
      </c>
      <c r="T930" s="1">
        <f t="shared" si="245"/>
        <v>0</v>
      </c>
    </row>
    <row r="931" spans="1:20" x14ac:dyDescent="0.25">
      <c r="A931" s="20">
        <f t="shared" si="240"/>
        <v>9.259999999999847</v>
      </c>
      <c r="C931" s="20">
        <f t="shared" si="230"/>
        <v>33.311731857521011</v>
      </c>
      <c r="D931" s="20">
        <f t="shared" si="233"/>
        <v>0.23835886812643656</v>
      </c>
      <c r="E931" s="20">
        <f t="shared" si="234"/>
        <v>5.1896117597743645</v>
      </c>
      <c r="F931" s="20">
        <f t="shared" si="235"/>
        <v>0.20022144922620672</v>
      </c>
      <c r="G931" s="20">
        <f t="shared" si="236"/>
        <v>4.3592738782104661</v>
      </c>
      <c r="I931" s="20">
        <f t="shared" si="231"/>
        <v>-1.01187330744516</v>
      </c>
      <c r="K931" s="20">
        <f t="shared" si="241"/>
        <v>17.664325734330173</v>
      </c>
      <c r="L931" s="20">
        <f t="shared" si="232"/>
        <v>4.3357719482190055E-2</v>
      </c>
      <c r="M931" s="20">
        <f t="shared" si="237"/>
        <v>0.94399563427367861</v>
      </c>
      <c r="N931" s="1">
        <f t="shared" si="242"/>
        <v>229.69381431486065</v>
      </c>
      <c r="P931" s="20">
        <f t="shared" si="243"/>
        <v>-28.24257558543238</v>
      </c>
      <c r="Q931" s="20">
        <f t="shared" si="238"/>
        <v>-0.14231417701081389</v>
      </c>
      <c r="R931" s="20">
        <f t="shared" si="239"/>
        <v>-3.098501567838317</v>
      </c>
      <c r="S931" s="20">
        <f t="shared" si="244"/>
        <v>19.866928308097794</v>
      </c>
      <c r="T931" s="1">
        <f t="shared" si="245"/>
        <v>0</v>
      </c>
    </row>
    <row r="932" spans="1:20" x14ac:dyDescent="0.25">
      <c r="A932" s="20">
        <f t="shared" si="240"/>
        <v>9.2699999999998468</v>
      </c>
      <c r="C932" s="20">
        <f t="shared" si="230"/>
        <v>33.343008603806126</v>
      </c>
      <c r="D932" s="20">
        <f t="shared" si="233"/>
        <v>0.23880667370481048</v>
      </c>
      <c r="E932" s="20">
        <f t="shared" si="234"/>
        <v>5.1993615002135964</v>
      </c>
      <c r="F932" s="20">
        <f t="shared" si="235"/>
        <v>0.20059760591204082</v>
      </c>
      <c r="G932" s="20">
        <f t="shared" si="236"/>
        <v>4.3674636601794212</v>
      </c>
      <c r="I932" s="20">
        <f t="shared" si="231"/>
        <v>-1.012126046578318</v>
      </c>
      <c r="K932" s="20">
        <f t="shared" si="241"/>
        <v>17.673765690672909</v>
      </c>
      <c r="L932" s="20">
        <f t="shared" si="232"/>
        <v>4.3517229893837134E-2</v>
      </c>
      <c r="M932" s="20">
        <f t="shared" si="237"/>
        <v>0.9474685367698048</v>
      </c>
      <c r="N932" s="1">
        <f t="shared" si="242"/>
        <v>229.87050477198565</v>
      </c>
      <c r="P932" s="20">
        <f t="shared" si="243"/>
        <v>-28.273560601110763</v>
      </c>
      <c r="Q932" s="20">
        <f t="shared" si="238"/>
        <v>-0.14174603824034709</v>
      </c>
      <c r="R932" s="20">
        <f t="shared" si="239"/>
        <v>-3.0861319015969322</v>
      </c>
      <c r="S932" s="20">
        <f t="shared" si="244"/>
        <v>19.58434762716508</v>
      </c>
      <c r="T932" s="1">
        <f t="shared" si="245"/>
        <v>0</v>
      </c>
    </row>
    <row r="933" spans="1:20" x14ac:dyDescent="0.25">
      <c r="A933" s="20">
        <f t="shared" si="240"/>
        <v>9.2799999999998466</v>
      </c>
      <c r="C933" s="20">
        <f t="shared" si="230"/>
        <v>33.374200970650719</v>
      </c>
      <c r="D933" s="20">
        <f t="shared" si="233"/>
        <v>0.23925368973158298</v>
      </c>
      <c r="E933" s="20">
        <f t="shared" si="234"/>
        <v>5.2090940503283907</v>
      </c>
      <c r="F933" s="20">
        <f t="shared" si="235"/>
        <v>0.2009730993745297</v>
      </c>
      <c r="G933" s="20">
        <f t="shared" si="236"/>
        <v>4.3756390022758485</v>
      </c>
      <c r="I933" s="20">
        <f t="shared" si="231"/>
        <v>-1.0123754656684121</v>
      </c>
      <c r="K933" s="20">
        <f t="shared" si="241"/>
        <v>17.683240376040608</v>
      </c>
      <c r="L933" s="20">
        <f t="shared" si="232"/>
        <v>4.3675858912573834E-2</v>
      </c>
      <c r="M933" s="20">
        <f t="shared" si="237"/>
        <v>0.95092224934843972</v>
      </c>
      <c r="N933" s="1">
        <f t="shared" si="242"/>
        <v>230.04728980231923</v>
      </c>
      <c r="P933" s="20">
        <f t="shared" si="243"/>
        <v>-28.304421920126732</v>
      </c>
      <c r="Q933" s="20">
        <f t="shared" si="238"/>
        <v>-0.14117883645769597</v>
      </c>
      <c r="R933" s="20">
        <f t="shared" si="239"/>
        <v>-3.0737826356998905</v>
      </c>
      <c r="S933" s="20">
        <f t="shared" si="244"/>
        <v>19.301457714558893</v>
      </c>
      <c r="T933" s="1">
        <f t="shared" si="245"/>
        <v>0</v>
      </c>
    </row>
    <row r="934" spans="1:20" x14ac:dyDescent="0.25">
      <c r="A934" s="20">
        <f t="shared" si="240"/>
        <v>9.2899999999998464</v>
      </c>
      <c r="C934" s="20">
        <f t="shared" si="230"/>
        <v>33.405308952547948</v>
      </c>
      <c r="D934" s="20">
        <f t="shared" si="233"/>
        <v>0.23969991273559041</v>
      </c>
      <c r="E934" s="20">
        <f t="shared" si="234"/>
        <v>5.2188093345436624</v>
      </c>
      <c r="F934" s="20">
        <f t="shared" si="235"/>
        <v>0.20134792669789595</v>
      </c>
      <c r="G934" s="20">
        <f t="shared" si="236"/>
        <v>4.3837998410166765</v>
      </c>
      <c r="I934" s="20">
        <f t="shared" si="231"/>
        <v>-1.0126215840292976</v>
      </c>
      <c r="K934" s="20">
        <f t="shared" si="241"/>
        <v>17.692749598534093</v>
      </c>
      <c r="L934" s="20">
        <f t="shared" si="232"/>
        <v>4.3833605456752328E-2</v>
      </c>
      <c r="M934" s="20">
        <f t="shared" si="237"/>
        <v>0.95435674845966312</v>
      </c>
      <c r="N934" s="1">
        <f t="shared" si="242"/>
        <v>230.2241697521921</v>
      </c>
      <c r="P934" s="20">
        <f t="shared" si="243"/>
        <v>-28.335159746483729</v>
      </c>
      <c r="Q934" s="20">
        <f t="shared" si="238"/>
        <v>-0.14061257541758987</v>
      </c>
      <c r="R934" s="20">
        <f t="shared" si="239"/>
        <v>-3.0614538518961436</v>
      </c>
      <c r="S934" s="20">
        <f t="shared" si="244"/>
        <v>19.018259806225839</v>
      </c>
      <c r="T934" s="1">
        <f t="shared" si="245"/>
        <v>0</v>
      </c>
    </row>
    <row r="935" spans="1:20" x14ac:dyDescent="0.25">
      <c r="A935" s="20">
        <f t="shared" si="240"/>
        <v>9.2999999999998462</v>
      </c>
      <c r="C935" s="20">
        <f t="shared" si="230"/>
        <v>33.436332545950549</v>
      </c>
      <c r="D935" s="20">
        <f t="shared" si="233"/>
        <v>0.24014533928269985</v>
      </c>
      <c r="E935" s="20">
        <f t="shared" si="234"/>
        <v>5.2285072780905697</v>
      </c>
      <c r="F935" s="20">
        <f t="shared" si="235"/>
        <v>0.20172208499746785</v>
      </c>
      <c r="G935" s="20">
        <f t="shared" si="236"/>
        <v>4.3919461135960782</v>
      </c>
      <c r="I935" s="20">
        <f t="shared" si="231"/>
        <v>-1.0128644208707798</v>
      </c>
      <c r="K935" s="20">
        <f t="shared" si="241"/>
        <v>17.702293166018688</v>
      </c>
      <c r="L935" s="20">
        <f t="shared" si="232"/>
        <v>4.3990468478608963E-2</v>
      </c>
      <c r="M935" s="20">
        <f t="shared" si="237"/>
        <v>0.9577720112912903</v>
      </c>
      <c r="N935" s="1">
        <f t="shared" si="242"/>
        <v>230.40114496601487</v>
      </c>
      <c r="P935" s="20">
        <f t="shared" si="243"/>
        <v>-28.36577428500269</v>
      </c>
      <c r="Q935" s="20">
        <f t="shared" si="238"/>
        <v>-0.14004725884087083</v>
      </c>
      <c r="R935" s="20">
        <f t="shared" si="239"/>
        <v>-3.0491456311968395</v>
      </c>
      <c r="S935" s="20">
        <f t="shared" si="244"/>
        <v>18.734755136068408</v>
      </c>
      <c r="T935" s="1">
        <f t="shared" si="245"/>
        <v>0</v>
      </c>
    </row>
    <row r="936" spans="1:20" x14ac:dyDescent="0.25">
      <c r="A936" s="20">
        <f t="shared" si="240"/>
        <v>9.309999999999846</v>
      </c>
      <c r="C936" s="20">
        <f t="shared" si="230"/>
        <v>33.467271749253129</v>
      </c>
      <c r="D936" s="20">
        <f t="shared" si="233"/>
        <v>0.24058996597568649</v>
      </c>
      <c r="E936" s="20">
        <f t="shared" si="234"/>
        <v>5.2381878070038432</v>
      </c>
      <c r="F936" s="20">
        <f t="shared" si="235"/>
        <v>0.20209557141957665</v>
      </c>
      <c r="G936" s="20">
        <f t="shared" si="236"/>
        <v>4.4000777578832277</v>
      </c>
      <c r="I936" s="20">
        <f t="shared" si="231"/>
        <v>-1.0131039952992493</v>
      </c>
      <c r="K936" s="20">
        <f t="shared" si="241"/>
        <v>17.711870886131599</v>
      </c>
      <c r="L936" s="20">
        <f t="shared" si="232"/>
        <v>4.4146446964143438E-2</v>
      </c>
      <c r="M936" s="20">
        <f t="shared" si="237"/>
        <v>0.96116801576624078</v>
      </c>
      <c r="N936" s="1">
        <f t="shared" si="242"/>
        <v>230.57821578627562</v>
      </c>
      <c r="P936" s="20">
        <f t="shared" si="243"/>
        <v>-28.396265741314657</v>
      </c>
      <c r="Q936" s="20">
        <f t="shared" si="238"/>
        <v>-0.13948289041457212</v>
      </c>
      <c r="R936" s="20">
        <f t="shared" si="239"/>
        <v>-3.0368580538770331</v>
      </c>
      <c r="S936" s="20">
        <f t="shared" si="244"/>
        <v>18.450944935936821</v>
      </c>
      <c r="T936" s="1">
        <f t="shared" si="245"/>
        <v>0</v>
      </c>
    </row>
    <row r="937" spans="1:20" x14ac:dyDescent="0.25">
      <c r="A937" s="20">
        <f t="shared" si="240"/>
        <v>9.3199999999998457</v>
      </c>
      <c r="C937" s="20">
        <f t="shared" si="230"/>
        <v>33.498126562774665</v>
      </c>
      <c r="D937" s="20">
        <f t="shared" si="233"/>
        <v>0.24103378945411214</v>
      </c>
      <c r="E937" s="20">
        <f t="shared" si="234"/>
        <v>5.2478508481191408</v>
      </c>
      <c r="F937" s="20">
        <f t="shared" si="235"/>
        <v>0.20246838314145418</v>
      </c>
      <c r="G937" s="20">
        <f t="shared" si="236"/>
        <v>4.4081947124200784</v>
      </c>
      <c r="I937" s="20">
        <f t="shared" si="231"/>
        <v>-1.0133403263183132</v>
      </c>
      <c r="K937" s="20">
        <f t="shared" si="241"/>
        <v>17.721482566289261</v>
      </c>
      <c r="L937" s="20">
        <f t="shared" si="232"/>
        <v>4.4301539932996986E-2</v>
      </c>
      <c r="M937" s="20">
        <f t="shared" si="237"/>
        <v>0.96454474053988648</v>
      </c>
      <c r="N937" s="1">
        <f t="shared" si="242"/>
        <v>230.75538255353771</v>
      </c>
      <c r="P937" s="20">
        <f t="shared" si="243"/>
        <v>-28.426634321853427</v>
      </c>
      <c r="Q937" s="20">
        <f t="shared" si="238"/>
        <v>-0.1389194737919956</v>
      </c>
      <c r="R937" s="20">
        <f t="shared" si="239"/>
        <v>-3.0245911994773698</v>
      </c>
      <c r="S937" s="20">
        <f t="shared" si="244"/>
        <v>18.166830435620984</v>
      </c>
      <c r="T937" s="1">
        <f t="shared" si="245"/>
        <v>0</v>
      </c>
    </row>
    <row r="938" spans="1:20" x14ac:dyDescent="0.25">
      <c r="A938" s="20">
        <f t="shared" si="240"/>
        <v>9.3299999999998455</v>
      </c>
      <c r="C938" s="20">
        <f t="shared" si="230"/>
        <v>33.528896988741039</v>
      </c>
      <c r="D938" s="20">
        <f t="shared" si="233"/>
        <v>0.24147680639420097</v>
      </c>
      <c r="E938" s="20">
        <f t="shared" si="234"/>
        <v>5.2574963290703458</v>
      </c>
      <c r="F938" s="20">
        <f t="shared" si="235"/>
        <v>0.20284051737112882</v>
      </c>
      <c r="G938" s="20">
        <f t="shared" si="236"/>
        <v>4.4162969164190908</v>
      </c>
      <c r="I938" s="20">
        <f t="shared" si="231"/>
        <v>-1.0135734328294193</v>
      </c>
      <c r="K938" s="20">
        <f t="shared" si="241"/>
        <v>17.731128013694661</v>
      </c>
      <c r="L938" s="20">
        <f t="shared" si="232"/>
        <v>4.4455746438327642E-2</v>
      </c>
      <c r="M938" s="20">
        <f t="shared" si="237"/>
        <v>0.96790216499733606</v>
      </c>
      <c r="N938" s="1">
        <f t="shared" si="242"/>
        <v>230.93264560643763</v>
      </c>
      <c r="P938" s="20">
        <f t="shared" si="243"/>
        <v>-28.456880233848199</v>
      </c>
      <c r="Q938" s="20">
        <f t="shared" si="238"/>
        <v>-0.13835701259279132</v>
      </c>
      <c r="R938" s="20">
        <f t="shared" si="239"/>
        <v>-3.0123451468058202</v>
      </c>
      <c r="S938" s="20">
        <f t="shared" si="244"/>
        <v>17.882412862842475</v>
      </c>
      <c r="T938" s="1">
        <f t="shared" si="245"/>
        <v>0</v>
      </c>
    </row>
    <row r="939" spans="1:20" x14ac:dyDescent="0.25">
      <c r="A939" s="20">
        <f t="shared" si="240"/>
        <v>9.3399999999998453</v>
      </c>
      <c r="C939" s="20">
        <f t="shared" si="230"/>
        <v>33.559583031267771</v>
      </c>
      <c r="D939" s="20">
        <f t="shared" si="233"/>
        <v>0.24191901350871658</v>
      </c>
      <c r="E939" s="20">
        <f t="shared" si="234"/>
        <v>5.2671241782868838</v>
      </c>
      <c r="F939" s="20">
        <f t="shared" si="235"/>
        <v>0.20321197134732191</v>
      </c>
      <c r="G939" s="20">
        <f t="shared" si="236"/>
        <v>4.4243843097609821</v>
      </c>
      <c r="I939" s="20">
        <f t="shared" si="231"/>
        <v>-1.0138033336324812</v>
      </c>
      <c r="K939" s="20">
        <f t="shared" si="241"/>
        <v>17.740807035344634</v>
      </c>
      <c r="L939" s="20">
        <f t="shared" si="232"/>
        <v>4.4609065566686007E-2</v>
      </c>
      <c r="M939" s="20">
        <f t="shared" si="237"/>
        <v>0.97124026925072959</v>
      </c>
      <c r="N939" s="1">
        <f t="shared" si="242"/>
        <v>231.11000528168282</v>
      </c>
      <c r="P939" s="20">
        <f t="shared" si="243"/>
        <v>-28.487003685316257</v>
      </c>
      <c r="Q939" s="20">
        <f t="shared" si="238"/>
        <v>-0.13779551040303634</v>
      </c>
      <c r="R939" s="20">
        <f t="shared" si="239"/>
        <v>-3.0001199739393933</v>
      </c>
      <c r="S939" s="20">
        <f t="shared" si="244"/>
        <v>17.597693443246655</v>
      </c>
      <c r="T939" s="1">
        <f t="shared" si="245"/>
        <v>0</v>
      </c>
    </row>
    <row r="940" spans="1:20" x14ac:dyDescent="0.25">
      <c r="A940" s="20">
        <f t="shared" si="240"/>
        <v>9.3499999999998451</v>
      </c>
      <c r="C940" s="20">
        <f t="shared" si="230"/>
        <v>33.590184696342803</v>
      </c>
      <c r="D940" s="20">
        <f t="shared" si="233"/>
        <v>0.24236040754683677</v>
      </c>
      <c r="E940" s="20">
        <f t="shared" si="234"/>
        <v>5.2767343249910033</v>
      </c>
      <c r="F940" s="20">
        <f t="shared" si="235"/>
        <v>0.2035827423393429</v>
      </c>
      <c r="G940" s="20">
        <f t="shared" si="236"/>
        <v>4.4324568329924432</v>
      </c>
      <c r="I940" s="20">
        <f t="shared" si="231"/>
        <v>-1.0140300474264952</v>
      </c>
      <c r="K940" s="20">
        <f t="shared" si="241"/>
        <v>17.750519438037141</v>
      </c>
      <c r="L940" s="20">
        <f t="shared" si="232"/>
        <v>4.476149643788771E-2</v>
      </c>
      <c r="M940" s="20">
        <f t="shared" si="237"/>
        <v>0.97455903413646228</v>
      </c>
      <c r="N940" s="1">
        <f t="shared" si="242"/>
        <v>231.28746191404971</v>
      </c>
      <c r="P940" s="20">
        <f t="shared" si="243"/>
        <v>-28.517004885055652</v>
      </c>
      <c r="Q940" s="20">
        <f t="shared" si="238"/>
        <v>-0.13723497077531505</v>
      </c>
      <c r="R940" s="20">
        <f t="shared" si="239"/>
        <v>-2.9879157582258884</v>
      </c>
      <c r="S940" s="20">
        <f t="shared" si="244"/>
        <v>17.312673400394793</v>
      </c>
      <c r="T940" s="1">
        <f t="shared" si="245"/>
        <v>0</v>
      </c>
    </row>
    <row r="941" spans="1:20" x14ac:dyDescent="0.25">
      <c r="A941" s="20">
        <f t="shared" si="240"/>
        <v>9.3599999999998449</v>
      </c>
      <c r="C941" s="20">
        <f t="shared" ref="C941:C1000" si="246">SQRT((K941^2)+(P941^2))</f>
        <v>33.62070199180944</v>
      </c>
      <c r="D941" s="20">
        <f t="shared" si="233"/>
        <v>0.24280098529402824</v>
      </c>
      <c r="E941" s="20">
        <f t="shared" si="234"/>
        <v>5.2863266991950413</v>
      </c>
      <c r="F941" s="20">
        <f t="shared" si="235"/>
        <v>0.20395282764698372</v>
      </c>
      <c r="G941" s="20">
        <f t="shared" si="236"/>
        <v>4.4405144273238344</v>
      </c>
      <c r="I941" s="20">
        <f t="shared" ref="I941:I1000" si="247">ATAN(P941/K941)</f>
        <v>-1.0142535928101539</v>
      </c>
      <c r="K941" s="20">
        <f t="shared" si="241"/>
        <v>17.760265028378505</v>
      </c>
      <c r="L941" s="20">
        <f t="shared" ref="L941:L1000" si="248">-(D941*COS(I941))-(F941*SIN(I941))</f>
        <v>4.491303820488482E-2</v>
      </c>
      <c r="M941" s="20">
        <f t="shared" si="237"/>
        <v>0.97785844121238452</v>
      </c>
      <c r="N941" s="1">
        <f t="shared" si="242"/>
        <v>231.46501583638178</v>
      </c>
      <c r="P941" s="20">
        <f t="shared" si="243"/>
        <v>-28.54688404263791</v>
      </c>
      <c r="Q941" s="20">
        <f t="shared" si="238"/>
        <v>-0.13667539722880001</v>
      </c>
      <c r="R941" s="20">
        <f t="shared" si="239"/>
        <v>-2.9757325762856524</v>
      </c>
      <c r="S941" s="20">
        <f t="shared" si="244"/>
        <v>17.027353955756325</v>
      </c>
      <c r="T941" s="1">
        <f t="shared" si="245"/>
        <v>0</v>
      </c>
    </row>
    <row r="942" spans="1:20" x14ac:dyDescent="0.25">
      <c r="A942" s="20">
        <f t="shared" si="240"/>
        <v>9.3699999999998447</v>
      </c>
      <c r="C942" s="20">
        <f t="shared" si="246"/>
        <v>33.651134927349403</v>
      </c>
      <c r="D942" s="20">
        <f t="shared" si="233"/>
        <v>0.2432407435719211</v>
      </c>
      <c r="E942" s="20">
        <f t="shared" si="234"/>
        <v>5.2959012316986964</v>
      </c>
      <c r="F942" s="20">
        <f t="shared" si="235"/>
        <v>0.20432222460041374</v>
      </c>
      <c r="G942" s="20">
        <f t="shared" si="236"/>
        <v>4.448557034626905</v>
      </c>
      <c r="I942" s="20">
        <f t="shared" si="247"/>
        <v>-1.0144739882824587</v>
      </c>
      <c r="K942" s="20">
        <f t="shared" si="241"/>
        <v>17.77004361279063</v>
      </c>
      <c r="L942" s="20">
        <f t="shared" si="248"/>
        <v>4.506369005363714E-2</v>
      </c>
      <c r="M942" s="20">
        <f t="shared" si="237"/>
        <v>0.98113847275499977</v>
      </c>
      <c r="N942" s="1">
        <f t="shared" si="242"/>
        <v>231.64266737958761</v>
      </c>
      <c r="P942" s="20">
        <f t="shared" si="243"/>
        <v>-28.576641368400765</v>
      </c>
      <c r="Q942" s="20">
        <f t="shared" si="238"/>
        <v>-0.13611679324933229</v>
      </c>
      <c r="R942" s="20">
        <f t="shared" si="239"/>
        <v>-2.9635705040133309</v>
      </c>
      <c r="S942" s="20">
        <f t="shared" si="244"/>
        <v>16.741736328701133</v>
      </c>
      <c r="T942" s="1">
        <f t="shared" si="245"/>
        <v>0</v>
      </c>
    </row>
    <row r="943" spans="1:20" x14ac:dyDescent="0.25">
      <c r="A943" s="20">
        <f t="shared" si="240"/>
        <v>9.3799999999998445</v>
      </c>
      <c r="C943" s="20">
        <f t="shared" si="246"/>
        <v>33.681483514465967</v>
      </c>
      <c r="D943" s="20">
        <f t="shared" si="233"/>
        <v>0.24367967923818146</v>
      </c>
      <c r="E943" s="20">
        <f t="shared" si="234"/>
        <v>5.3054578540862503</v>
      </c>
      <c r="F943" s="20">
        <f t="shared" si="235"/>
        <v>0.20469093056007243</v>
      </c>
      <c r="G943" s="20">
        <f t="shared" si="236"/>
        <v>4.4565845974324505</v>
      </c>
      <c r="I943" s="20">
        <f t="shared" si="247"/>
        <v>-1.0146912522433242</v>
      </c>
      <c r="K943" s="20">
        <f t="shared" si="241"/>
        <v>17.779854997518179</v>
      </c>
      <c r="L943" s="20">
        <f t="shared" si="248"/>
        <v>4.5213451202979787E-2</v>
      </c>
      <c r="M943" s="20">
        <f t="shared" si="237"/>
        <v>0.98439911175658146</v>
      </c>
      <c r="N943" s="1">
        <f t="shared" si="242"/>
        <v>231.82041687263916</v>
      </c>
      <c r="P943" s="20">
        <f t="shared" si="243"/>
        <v>-28.606277073440896</v>
      </c>
      <c r="Q943" s="20">
        <f t="shared" si="238"/>
        <v>-0.13555916228950432</v>
      </c>
      <c r="R943" s="20">
        <f t="shared" si="239"/>
        <v>-2.9514296165796718</v>
      </c>
      <c r="S943" s="20">
        <f t="shared" si="244"/>
        <v>16.455821736491924</v>
      </c>
      <c r="T943" s="1">
        <f t="shared" si="245"/>
        <v>0</v>
      </c>
    </row>
    <row r="944" spans="1:20" x14ac:dyDescent="0.25">
      <c r="A944" s="20">
        <f t="shared" si="240"/>
        <v>9.3899999999998442</v>
      </c>
      <c r="C944" s="20">
        <f t="shared" si="246"/>
        <v>33.711747766467241</v>
      </c>
      <c r="D944" s="20">
        <f t="shared" si="233"/>
        <v>0.24411778918638449</v>
      </c>
      <c r="E944" s="20">
        <f t="shared" si="234"/>
        <v>5.3149964987238079</v>
      </c>
      <c r="F944" s="20">
        <f t="shared" si="235"/>
        <v>0.20505894291656299</v>
      </c>
      <c r="G944" s="20">
        <f t="shared" si="236"/>
        <v>4.4645970589279989</v>
      </c>
      <c r="I944" s="20">
        <f t="shared" si="247"/>
        <v>-1.014905402994182</v>
      </c>
      <c r="K944" s="20">
        <f t="shared" si="241"/>
        <v>17.789698988635745</v>
      </c>
      <c r="L944" s="20">
        <f t="shared" si="248"/>
        <v>4.5362320904491688E-2</v>
      </c>
      <c r="M944" s="20">
        <f t="shared" si="237"/>
        <v>0.98764034192230976</v>
      </c>
      <c r="N944" s="1">
        <f t="shared" si="242"/>
        <v>231.99826464256995</v>
      </c>
      <c r="P944" s="20">
        <f t="shared" si="243"/>
        <v>-28.635791369606693</v>
      </c>
      <c r="Q944" s="20">
        <f t="shared" si="238"/>
        <v>-0.1350025077687414</v>
      </c>
      <c r="R944" s="20">
        <f t="shared" si="239"/>
        <v>-2.9393099884332985</v>
      </c>
      <c r="S944" s="20">
        <f t="shared" si="244"/>
        <v>16.169611394276689</v>
      </c>
      <c r="T944" s="1">
        <f t="shared" si="245"/>
        <v>0</v>
      </c>
    </row>
    <row r="945" spans="1:20" x14ac:dyDescent="0.25">
      <c r="A945" s="20">
        <f t="shared" si="240"/>
        <v>9.399999999999844</v>
      </c>
      <c r="C945" s="20">
        <f t="shared" si="246"/>
        <v>33.741927698449572</v>
      </c>
      <c r="D945" s="20">
        <f t="shared" si="233"/>
        <v>0.24455507034588653</v>
      </c>
      <c r="E945" s="20">
        <f t="shared" si="234"/>
        <v>5.3245170987565107</v>
      </c>
      <c r="F945" s="20">
        <f t="shared" si="235"/>
        <v>0.20542625909054468</v>
      </c>
      <c r="G945" s="20">
        <f t="shared" si="236"/>
        <v>4.4725943629554692</v>
      </c>
      <c r="I945" s="20">
        <f t="shared" si="247"/>
        <v>-1.0151164587385781</v>
      </c>
      <c r="K945" s="20">
        <f t="shared" si="241"/>
        <v>17.799575392054969</v>
      </c>
      <c r="L945" s="20">
        <f t="shared" si="248"/>
        <v>4.5510298442361014E-2</v>
      </c>
      <c r="M945" s="20">
        <f t="shared" si="237"/>
        <v>0.99086214766734193</v>
      </c>
      <c r="N945" s="1">
        <f t="shared" si="242"/>
        <v>232.17621101447341</v>
      </c>
      <c r="P945" s="20">
        <f t="shared" si="243"/>
        <v>-28.665184469491027</v>
      </c>
      <c r="Q945" s="20">
        <f t="shared" si="238"/>
        <v>-0.13444683307338479</v>
      </c>
      <c r="R945" s="20">
        <f t="shared" si="239"/>
        <v>-2.927211693302521</v>
      </c>
      <c r="S945" s="20">
        <f t="shared" si="244"/>
        <v>15.883106515081201</v>
      </c>
      <c r="T945" s="1">
        <f t="shared" si="245"/>
        <v>0</v>
      </c>
    </row>
    <row r="946" spans="1:20" x14ac:dyDescent="0.25">
      <c r="A946" s="20">
        <f t="shared" si="240"/>
        <v>9.4099999999998438</v>
      </c>
      <c r="C946" s="20">
        <f t="shared" si="246"/>
        <v>33.772023327281026</v>
      </c>
      <c r="D946" s="20">
        <f t="shared" si="233"/>
        <v>0.2449915196816963</v>
      </c>
      <c r="E946" s="20">
        <f t="shared" si="234"/>
        <v>5.3340195881057326</v>
      </c>
      <c r="F946" s="20">
        <f t="shared" si="235"/>
        <v>0.2057928765326249</v>
      </c>
      <c r="G946" s="20">
        <f t="shared" si="236"/>
        <v>4.4805764540088155</v>
      </c>
      <c r="I946" s="20">
        <f t="shared" si="247"/>
        <v>-1.0153244375827686</v>
      </c>
      <c r="K946" s="20">
        <f t="shared" si="241"/>
        <v>17.809484013531641</v>
      </c>
      <c r="L946" s="20">
        <f t="shared" si="248"/>
        <v>4.5657383133250323E-2</v>
      </c>
      <c r="M946" s="20">
        <f t="shared" si="237"/>
        <v>0.99406451411387597</v>
      </c>
      <c r="N946" s="1">
        <f t="shared" si="242"/>
        <v>232.35425631150136</v>
      </c>
      <c r="P946" s="20">
        <f t="shared" si="243"/>
        <v>-28.694456586424053</v>
      </c>
      <c r="Q946" s="20">
        <f t="shared" si="238"/>
        <v>-0.13389214155677531</v>
      </c>
      <c r="R946" s="20">
        <f t="shared" si="239"/>
        <v>-2.9151348041971548</v>
      </c>
      <c r="S946" s="20">
        <f t="shared" si="244"/>
        <v>15.596308309801625</v>
      </c>
      <c r="T946" s="1">
        <f t="shared" si="245"/>
        <v>0</v>
      </c>
    </row>
    <row r="947" spans="1:20" x14ac:dyDescent="0.25">
      <c r="A947" s="20">
        <f t="shared" si="240"/>
        <v>9.4199999999998436</v>
      </c>
      <c r="C947" s="20">
        <f t="shared" si="246"/>
        <v>33.802034671585005</v>
      </c>
      <c r="D947" s="20">
        <f t="shared" si="233"/>
        <v>0.24542713419434573</v>
      </c>
      <c r="E947" s="20">
        <f t="shared" si="234"/>
        <v>5.3435039014662689</v>
      </c>
      <c r="F947" s="20">
        <f t="shared" si="235"/>
        <v>0.20615879272325041</v>
      </c>
      <c r="G947" s="20">
        <f t="shared" si="236"/>
        <v>4.488543277231666</v>
      </c>
      <c r="I947" s="20">
        <f t="shared" si="247"/>
        <v>-1.0155293575363091</v>
      </c>
      <c r="K947" s="20">
        <f t="shared" si="241"/>
        <v>17.81942465867278</v>
      </c>
      <c r="L947" s="20">
        <f t="shared" si="248"/>
        <v>4.5803574326159807E-2</v>
      </c>
      <c r="M947" s="20">
        <f t="shared" si="237"/>
        <v>0.99724742708817349</v>
      </c>
      <c r="N947" s="1">
        <f t="shared" si="242"/>
        <v>232.53240085486237</v>
      </c>
      <c r="P947" s="20">
        <f t="shared" si="243"/>
        <v>-28.723607934466024</v>
      </c>
      <c r="Q947" s="20">
        <f t="shared" si="238"/>
        <v>-0.13333843653933708</v>
      </c>
      <c r="R947" s="20">
        <f t="shared" si="239"/>
        <v>-2.9030793934103438</v>
      </c>
      <c r="S947" s="20">
        <f t="shared" si="244"/>
        <v>15.309217987197174</v>
      </c>
      <c r="T947" s="1">
        <f t="shared" si="245"/>
        <v>0</v>
      </c>
    </row>
    <row r="948" spans="1:20" x14ac:dyDescent="0.25">
      <c r="A948" s="20">
        <f t="shared" si="240"/>
        <v>9.4299999999998434</v>
      </c>
      <c r="C948" s="20">
        <f t="shared" si="246"/>
        <v>33.831961751723988</v>
      </c>
      <c r="D948" s="20">
        <f t="shared" si="233"/>
        <v>0.2458619109197602</v>
      </c>
      <c r="E948" s="20">
        <f t="shared" si="234"/>
        <v>5.3529699743035097</v>
      </c>
      <c r="F948" s="20">
        <f t="shared" si="235"/>
        <v>0.20652400517259858</v>
      </c>
      <c r="G948" s="20">
        <f t="shared" si="236"/>
        <v>4.4964947784149487</v>
      </c>
      <c r="I948" s="20">
        <f t="shared" si="247"/>
        <v>-1.0157312365126425</v>
      </c>
      <c r="K948" s="20">
        <f t="shared" si="241"/>
        <v>17.829397132943662</v>
      </c>
      <c r="L948" s="20">
        <f t="shared" si="248"/>
        <v>4.594887140228951E-2</v>
      </c>
      <c r="M948" s="20">
        <f t="shared" si="237"/>
        <v>1.0004108731175596</v>
      </c>
      <c r="N948" s="1">
        <f t="shared" si="242"/>
        <v>232.71064496382047</v>
      </c>
      <c r="P948" s="20">
        <f t="shared" si="243"/>
        <v>-28.752638728400129</v>
      </c>
      <c r="Q948" s="20">
        <f t="shared" si="238"/>
        <v>-0.13278572130866179</v>
      </c>
      <c r="R948" s="20">
        <f t="shared" si="239"/>
        <v>-2.8910455325203959</v>
      </c>
      <c r="S948" s="20">
        <f t="shared" si="244"/>
        <v>15.021836753882843</v>
      </c>
      <c r="T948" s="1">
        <f t="shared" si="245"/>
        <v>0</v>
      </c>
    </row>
    <row r="949" spans="1:20" x14ac:dyDescent="0.25">
      <c r="A949" s="20">
        <f t="shared" si="240"/>
        <v>9.4399999999998432</v>
      </c>
      <c r="C949" s="20">
        <f t="shared" si="246"/>
        <v>33.861804589783311</v>
      </c>
      <c r="D949" s="20">
        <f t="shared" si="233"/>
        <v>0.24629584692912762</v>
      </c>
      <c r="E949" s="20">
        <f t="shared" si="234"/>
        <v>5.3624177428505906</v>
      </c>
      <c r="F949" s="20">
        <f t="shared" si="235"/>
        <v>0.20688851142046721</v>
      </c>
      <c r="G949" s="20">
        <f t="shared" si="236"/>
        <v>4.5044309039944963</v>
      </c>
      <c r="I949" s="20">
        <f t="shared" si="247"/>
        <v>-1.0159300923296819</v>
      </c>
      <c r="K949" s="20">
        <f t="shared" si="241"/>
        <v>17.839401241674839</v>
      </c>
      <c r="L949" s="20">
        <f t="shared" si="248"/>
        <v>4.609327377490044E-2</v>
      </c>
      <c r="M949" s="20">
        <f t="shared" si="237"/>
        <v>1.0035548394273992</v>
      </c>
      <c r="N949" s="1">
        <f t="shared" si="242"/>
        <v>232.88898895569355</v>
      </c>
      <c r="P949" s="20">
        <f t="shared" si="243"/>
        <v>-28.781549183725332</v>
      </c>
      <c r="Q949" s="20">
        <f t="shared" si="238"/>
        <v>-0.13223399911959483</v>
      </c>
      <c r="R949" s="20">
        <f t="shared" si="239"/>
        <v>-2.8790332923926591</v>
      </c>
      <c r="S949" s="20">
        <f t="shared" si="244"/>
        <v>14.734165814322214</v>
      </c>
      <c r="T949" s="1">
        <f t="shared" si="245"/>
        <v>0</v>
      </c>
    </row>
    <row r="950" spans="1:20" x14ac:dyDescent="0.25">
      <c r="A950" s="20">
        <f t="shared" si="240"/>
        <v>9.449999999999843</v>
      </c>
      <c r="C950" s="20">
        <f t="shared" si="246"/>
        <v>33.891563209555187</v>
      </c>
      <c r="D950" s="20">
        <f t="shared" si="233"/>
        <v>0.24672893932876833</v>
      </c>
      <c r="E950" s="20">
        <f t="shared" si="234"/>
        <v>5.3718471441055593</v>
      </c>
      <c r="F950" s="20">
        <f t="shared" si="235"/>
        <v>0.2072523090361654</v>
      </c>
      <c r="G950" s="20">
        <f t="shared" si="236"/>
        <v>4.5123516010486702</v>
      </c>
      <c r="I950" s="20">
        <f t="shared" si="247"/>
        <v>-1.0161259427103884</v>
      </c>
      <c r="K950" s="20">
        <f t="shared" si="241"/>
        <v>17.849436790069113</v>
      </c>
      <c r="L950" s="20">
        <f t="shared" si="248"/>
        <v>4.6236780889173934E-2</v>
      </c>
      <c r="M950" s="20">
        <f t="shared" si="237"/>
        <v>1.0066793139380348</v>
      </c>
      <c r="N950" s="1">
        <f t="shared" si="242"/>
        <v>233.06743314585228</v>
      </c>
      <c r="P950" s="20">
        <f t="shared" si="243"/>
        <v>-28.810339516649258</v>
      </c>
      <c r="Q950" s="20">
        <f t="shared" si="238"/>
        <v>-0.13168327319431927</v>
      </c>
      <c r="R950" s="20">
        <f t="shared" si="239"/>
        <v>-2.8670427431813472</v>
      </c>
      <c r="S950" s="20">
        <f t="shared" si="244"/>
        <v>14.44620637082034</v>
      </c>
      <c r="T950" s="1">
        <f t="shared" si="245"/>
        <v>0</v>
      </c>
    </row>
    <row r="951" spans="1:20" x14ac:dyDescent="0.25">
      <c r="A951" s="20">
        <f t="shared" si="240"/>
        <v>9.4599999999998428</v>
      </c>
      <c r="C951" s="20">
        <f t="shared" si="246"/>
        <v>33.921237636522697</v>
      </c>
      <c r="D951" s="20">
        <f t="shared" si="233"/>
        <v>0.2471611852600025</v>
      </c>
      <c r="E951" s="20">
        <f t="shared" si="234"/>
        <v>5.3812581158284889</v>
      </c>
      <c r="F951" s="20">
        <f t="shared" si="235"/>
        <v>0.20761539561840212</v>
      </c>
      <c r="G951" s="20">
        <f t="shared" si="236"/>
        <v>4.5202568172959312</v>
      </c>
      <c r="I951" s="20">
        <f t="shared" si="247"/>
        <v>-1.0163188052833478</v>
      </c>
      <c r="K951" s="20">
        <f t="shared" si="241"/>
        <v>17.859503583208493</v>
      </c>
      <c r="L951" s="20">
        <f t="shared" si="248"/>
        <v>4.6379392222070631E-2</v>
      </c>
      <c r="M951" s="20">
        <f t="shared" si="237"/>
        <v>1.0097842852617163</v>
      </c>
      <c r="N951" s="1">
        <f t="shared" si="242"/>
        <v>233.24597784771868</v>
      </c>
      <c r="P951" s="20">
        <f t="shared" si="243"/>
        <v>-28.83900994408107</v>
      </c>
      <c r="Q951" s="20">
        <f t="shared" si="238"/>
        <v>-0.13113354672244343</v>
      </c>
      <c r="R951" s="20">
        <f t="shared" si="239"/>
        <v>-2.8550739543314485</v>
      </c>
      <c r="S951" s="20">
        <f t="shared" si="244"/>
        <v>14.157959623516687</v>
      </c>
      <c r="T951" s="1">
        <f t="shared" si="245"/>
        <v>0</v>
      </c>
    </row>
    <row r="952" spans="1:20" x14ac:dyDescent="0.25">
      <c r="A952" s="20">
        <f t="shared" si="240"/>
        <v>9.4699999999998425</v>
      </c>
      <c r="C952" s="20">
        <f t="shared" si="246"/>
        <v>33.950827897843986</v>
      </c>
      <c r="D952" s="20">
        <f t="shared" si="233"/>
        <v>0.24759258189901884</v>
      </c>
      <c r="E952" s="20">
        <f t="shared" si="234"/>
        <v>5.3906505965386202</v>
      </c>
      <c r="F952" s="20">
        <f t="shared" si="235"/>
        <v>0.20797776879517582</v>
      </c>
      <c r="G952" s="20">
        <f t="shared" si="236"/>
        <v>4.5281465010924409</v>
      </c>
      <c r="I952" s="20">
        <f t="shared" si="247"/>
        <v>-1.0165086975833415</v>
      </c>
      <c r="K952" s="20">
        <f t="shared" si="241"/>
        <v>17.869601426061109</v>
      </c>
      <c r="L952" s="20">
        <f t="shared" si="248"/>
        <v>4.6521107282187418E-2</v>
      </c>
      <c r="M952" s="20">
        <f t="shared" si="237"/>
        <v>1.0128697426994866</v>
      </c>
      <c r="N952" s="1">
        <f t="shared" si="242"/>
        <v>233.42462337276501</v>
      </c>
      <c r="P952" s="20">
        <f t="shared" si="243"/>
        <v>-28.867560683624383</v>
      </c>
      <c r="Q952" s="20">
        <f t="shared" si="238"/>
        <v>-0.13058482286108619</v>
      </c>
      <c r="R952" s="20">
        <f t="shared" si="239"/>
        <v>-2.8431269945805835</v>
      </c>
      <c r="S952" s="20">
        <f t="shared" si="244"/>
        <v>13.86942677037816</v>
      </c>
      <c r="T952" s="1">
        <f t="shared" si="245"/>
        <v>0</v>
      </c>
    </row>
    <row r="953" spans="1:20" x14ac:dyDescent="0.25">
      <c r="A953" s="20">
        <f t="shared" si="240"/>
        <v>9.4799999999998423</v>
      </c>
      <c r="C953" s="20">
        <f t="shared" si="246"/>
        <v>33.980334022336521</v>
      </c>
      <c r="D953" s="20">
        <f t="shared" si="233"/>
        <v>0.24802312645674143</v>
      </c>
      <c r="E953" s="20">
        <f t="shared" si="234"/>
        <v>5.4000245255114621</v>
      </c>
      <c r="F953" s="20">
        <f t="shared" si="235"/>
        <v>0.2083394262236628</v>
      </c>
      <c r="G953" s="20">
        <f t="shared" si="236"/>
        <v>4.5360206014296276</v>
      </c>
      <c r="I953" s="20">
        <f t="shared" si="247"/>
        <v>-1.0166956370519131</v>
      </c>
      <c r="K953" s="20">
        <f t="shared" si="241"/>
        <v>17.879730123488105</v>
      </c>
      <c r="L953" s="20">
        <f t="shared" si="248"/>
        <v>4.6661925609613658E-2</v>
      </c>
      <c r="M953" s="20">
        <f t="shared" si="237"/>
        <v>1.0159356762380505</v>
      </c>
      <c r="N953" s="1">
        <f t="shared" si="242"/>
        <v>233.60337003051276</v>
      </c>
      <c r="P953" s="20">
        <f t="shared" si="243"/>
        <v>-28.895991953570189</v>
      </c>
      <c r="Q953" s="20">
        <f t="shared" si="238"/>
        <v>-0.13003710473496499</v>
      </c>
      <c r="R953" s="20">
        <f t="shared" si="239"/>
        <v>-2.8312019319609187</v>
      </c>
      <c r="S953" s="20">
        <f t="shared" si="244"/>
        <v>13.580609007192187</v>
      </c>
      <c r="T953" s="1">
        <f t="shared" si="245"/>
        <v>0</v>
      </c>
    </row>
    <row r="954" spans="1:20" x14ac:dyDescent="0.25">
      <c r="A954" s="20">
        <f t="shared" si="240"/>
        <v>9.4899999999998421</v>
      </c>
      <c r="C954" s="20">
        <f t="shared" si="246"/>
        <v>34.009756040461475</v>
      </c>
      <c r="D954" s="20">
        <f t="shared" si="233"/>
        <v>0.24845281617869686</v>
      </c>
      <c r="E954" s="20">
        <f t="shared" si="234"/>
        <v>5.4093798427758948</v>
      </c>
      <c r="F954" s="20">
        <f t="shared" si="235"/>
        <v>0.20870036559010535</v>
      </c>
      <c r="G954" s="20">
        <f t="shared" si="236"/>
        <v>4.5438790679317513</v>
      </c>
      <c r="I954" s="20">
        <f t="shared" si="247"/>
        <v>-1.0168796410379337</v>
      </c>
      <c r="K954" s="20">
        <f t="shared" si="241"/>
        <v>17.889889480250485</v>
      </c>
      <c r="L954" s="20">
        <f t="shared" si="248"/>
        <v>4.680184677578661E-2</v>
      </c>
      <c r="M954" s="20">
        <f t="shared" si="237"/>
        <v>1.0189820765466278</v>
      </c>
      <c r="N954" s="1">
        <f t="shared" si="242"/>
        <v>233.78221812853147</v>
      </c>
      <c r="P954" s="20">
        <f t="shared" si="243"/>
        <v>-28.924303972889799</v>
      </c>
      <c r="Q954" s="20">
        <f t="shared" si="238"/>
        <v>-0.12949039543648272</v>
      </c>
      <c r="R954" s="20">
        <f t="shared" si="239"/>
        <v>-2.8192988338010609</v>
      </c>
      <c r="S954" s="20">
        <f t="shared" si="244"/>
        <v>13.291507527559888</v>
      </c>
      <c r="T954" s="1">
        <f t="shared" si="245"/>
        <v>0</v>
      </c>
    </row>
    <row r="955" spans="1:20" x14ac:dyDescent="0.25">
      <c r="A955" s="20">
        <f t="shared" si="240"/>
        <v>9.4999999999998419</v>
      </c>
      <c r="C955" s="20">
        <f t="shared" si="246"/>
        <v>34.039093984308181</v>
      </c>
      <c r="D955" s="20">
        <f t="shared" si="233"/>
        <v>0.24888164834487964</v>
      </c>
      <c r="E955" s="20">
        <f t="shared" si="234"/>
        <v>5.4187164891112483</v>
      </c>
      <c r="F955" s="20">
        <f t="shared" si="235"/>
        <v>0.2090605846096989</v>
      </c>
      <c r="G955" s="20">
        <f t="shared" si="236"/>
        <v>4.5517218508534487</v>
      </c>
      <c r="I955" s="20">
        <f t="shared" si="247"/>
        <v>-1.0170607267981613</v>
      </c>
      <c r="K955" s="20">
        <f t="shared" si="241"/>
        <v>17.90007930101595</v>
      </c>
      <c r="L955" s="20">
        <f t="shared" si="248"/>
        <v>4.6940870383344935E-2</v>
      </c>
      <c r="M955" s="20">
        <f t="shared" si="237"/>
        <v>1.0220089349737631</v>
      </c>
      <c r="N955" s="1">
        <f t="shared" si="242"/>
        <v>233.96116797243781</v>
      </c>
      <c r="P955" s="20">
        <f t="shared" si="243"/>
        <v>-28.952496961227808</v>
      </c>
      <c r="Q955" s="20">
        <f t="shared" si="238"/>
        <v>-0.12894469802581704</v>
      </c>
      <c r="R955" s="20">
        <f t="shared" si="239"/>
        <v>-2.8074177667280003</v>
      </c>
      <c r="S955" s="20">
        <f t="shared" si="244"/>
        <v>13.002123522889301</v>
      </c>
      <c r="T955" s="1">
        <f t="shared" si="245"/>
        <v>0</v>
      </c>
    </row>
    <row r="956" spans="1:20" x14ac:dyDescent="0.25">
      <c r="A956" s="20">
        <f t="shared" si="240"/>
        <v>9.5099999999998417</v>
      </c>
      <c r="C956" s="20">
        <f t="shared" si="246"/>
        <v>34.06834788757876</v>
      </c>
      <c r="D956" s="20">
        <f t="shared" si="233"/>
        <v>0.24930962026961909</v>
      </c>
      <c r="E956" s="20">
        <f t="shared" si="234"/>
        <v>5.4280344060443957</v>
      </c>
      <c r="F956" s="20">
        <f t="shared" si="235"/>
        <v>0.20942008102648005</v>
      </c>
      <c r="G956" s="20">
        <f t="shared" si="236"/>
        <v>4.5595489010772932</v>
      </c>
      <c r="I956" s="20">
        <f t="shared" si="247"/>
        <v>-1.0172389114977962</v>
      </c>
      <c r="K956" s="20">
        <f t="shared" si="241"/>
        <v>17.910299390365687</v>
      </c>
      <c r="L956" s="20">
        <f t="shared" si="248"/>
        <v>4.707899606598176E-2</v>
      </c>
      <c r="M956" s="20">
        <f t="shared" si="237"/>
        <v>1.0250162435441272</v>
      </c>
      <c r="N956" s="1">
        <f t="shared" si="242"/>
        <v>234.14021986589469</v>
      </c>
      <c r="P956" s="20">
        <f t="shared" si="243"/>
        <v>-28.980571138895087</v>
      </c>
      <c r="Q956" s="20">
        <f t="shared" si="238"/>
        <v>-0.12840001553100744</v>
      </c>
      <c r="R956" s="20">
        <f t="shared" si="239"/>
        <v>-2.7955587966690061</v>
      </c>
      <c r="S956" s="20">
        <f t="shared" si="244"/>
        <v>12.712458182388685</v>
      </c>
      <c r="T956" s="1">
        <f t="shared" si="245"/>
        <v>0</v>
      </c>
    </row>
    <row r="957" spans="1:20" x14ac:dyDescent="0.25">
      <c r="A957" s="20">
        <f t="shared" si="240"/>
        <v>9.5199999999998415</v>
      </c>
      <c r="C957" s="20">
        <f t="shared" si="246"/>
        <v>34.097517785572819</v>
      </c>
      <c r="D957" s="20">
        <f t="shared" si="233"/>
        <v>0.24973672930144428</v>
      </c>
      <c r="E957" s="20">
        <f t="shared" si="234"/>
        <v>5.4373335358468164</v>
      </c>
      <c r="F957" s="20">
        <f t="shared" si="235"/>
        <v>0.20977885261321319</v>
      </c>
      <c r="G957" s="20">
        <f t="shared" si="236"/>
        <v>4.5673601701113258</v>
      </c>
      <c r="I957" s="20">
        <f t="shared" si="247"/>
        <v>-1.0174142122110352</v>
      </c>
      <c r="K957" s="20">
        <f t="shared" si="241"/>
        <v>17.920549552801127</v>
      </c>
      <c r="L957" s="20">
        <f t="shared" si="248"/>
        <v>4.721622348829671E-2</v>
      </c>
      <c r="M957" s="20">
        <f t="shared" si="237"/>
        <v>1.0280039949552953</v>
      </c>
      <c r="N957" s="1">
        <f t="shared" si="242"/>
        <v>234.31937411061051</v>
      </c>
      <c r="P957" s="20">
        <f t="shared" si="243"/>
        <v>-29.008526726861778</v>
      </c>
      <c r="Q957" s="20">
        <f t="shared" si="238"/>
        <v>-0.12785635094804476</v>
      </c>
      <c r="R957" s="20">
        <f t="shared" si="239"/>
        <v>-2.7837219888535762</v>
      </c>
      <c r="S957" s="20">
        <f t="shared" si="244"/>
        <v>12.4225126930599</v>
      </c>
      <c r="T957" s="1">
        <f t="shared" si="245"/>
        <v>0</v>
      </c>
    </row>
    <row r="958" spans="1:20" x14ac:dyDescent="0.25">
      <c r="A958" s="20">
        <f t="shared" si="240"/>
        <v>9.5299999999998413</v>
      </c>
      <c r="C958" s="20">
        <f t="shared" si="246"/>
        <v>34.126603715172202</v>
      </c>
      <c r="D958" s="20">
        <f t="shared" si="233"/>
        <v>0.25016297282294819</v>
      </c>
      <c r="E958" s="20">
        <f t="shared" si="234"/>
        <v>5.4466138215316393</v>
      </c>
      <c r="F958" s="20">
        <f t="shared" si="235"/>
        <v>0.21013689717127648</v>
      </c>
      <c r="G958" s="20">
        <f t="shared" si="236"/>
        <v>4.5751556100865773</v>
      </c>
      <c r="I958" s="20">
        <f t="shared" si="247"/>
        <v>-1.0175866459216194</v>
      </c>
      <c r="K958" s="20">
        <f t="shared" si="241"/>
        <v>17.93082959275068</v>
      </c>
      <c r="L958" s="20">
        <f t="shared" si="248"/>
        <v>4.7352552345646559E-2</v>
      </c>
      <c r="M958" s="20">
        <f t="shared" si="237"/>
        <v>1.0309721825744951</v>
      </c>
      <c r="N958" s="1">
        <f t="shared" si="242"/>
        <v>234.49863100633826</v>
      </c>
      <c r="P958" s="20">
        <f t="shared" si="243"/>
        <v>-29.036363946750313</v>
      </c>
      <c r="Q958" s="20">
        <f t="shared" si="238"/>
        <v>-0.1273137072409613</v>
      </c>
      <c r="R958" s="20">
        <f t="shared" si="239"/>
        <v>-2.7719074078153998</v>
      </c>
      <c r="S958" s="20">
        <f t="shared" si="244"/>
        <v>12.132288239691841</v>
      </c>
      <c r="T958" s="1">
        <f t="shared" si="245"/>
        <v>0</v>
      </c>
    </row>
    <row r="959" spans="1:20" x14ac:dyDescent="0.25">
      <c r="A959" s="20">
        <f t="shared" si="240"/>
        <v>9.5399999999998411</v>
      </c>
      <c r="C959" s="20">
        <f t="shared" si="246"/>
        <v>34.155605714825924</v>
      </c>
      <c r="D959" s="20">
        <f t="shared" si="233"/>
        <v>0.25058834825065252</v>
      </c>
      <c r="E959" s="20">
        <f t="shared" si="234"/>
        <v>5.4558752068506973</v>
      </c>
      <c r="F959" s="20">
        <f t="shared" si="235"/>
        <v>0.21049421253054815</v>
      </c>
      <c r="G959" s="20">
        <f t="shared" si="236"/>
        <v>4.5829351737545867</v>
      </c>
      <c r="I959" s="20">
        <f t="shared" si="247"/>
        <v>-1.0177562295233791</v>
      </c>
      <c r="K959" s="20">
        <f t="shared" si="241"/>
        <v>17.941139314576425</v>
      </c>
      <c r="L959" s="20">
        <f t="shared" si="248"/>
        <v>4.7487982363994791E-2</v>
      </c>
      <c r="M959" s="20">
        <f t="shared" si="237"/>
        <v>1.033920800435332</v>
      </c>
      <c r="N959" s="1">
        <f t="shared" si="242"/>
        <v>234.67799085087489</v>
      </c>
      <c r="P959" s="20">
        <f t="shared" si="243"/>
        <v>-29.064083020828466</v>
      </c>
      <c r="Q959" s="20">
        <f t="shared" si="238"/>
        <v>-0.12677208734192058</v>
      </c>
      <c r="R959" s="20">
        <f t="shared" si="239"/>
        <v>-2.7601151173943084</v>
      </c>
      <c r="S959" s="20">
        <f t="shared" si="244"/>
        <v>11.841786004853946</v>
      </c>
      <c r="T959" s="1">
        <f t="shared" si="245"/>
        <v>0</v>
      </c>
    </row>
    <row r="960" spans="1:20" x14ac:dyDescent="0.25">
      <c r="A960" s="20">
        <f t="shared" si="240"/>
        <v>9.5499999999998408</v>
      </c>
      <c r="C960" s="20">
        <f t="shared" si="246"/>
        <v>34.184523824535198</v>
      </c>
      <c r="D960" s="20">
        <f t="shared" si="233"/>
        <v>0.25101285303487181</v>
      </c>
      <c r="E960" s="20">
        <f t="shared" si="234"/>
        <v>5.4651176362915699</v>
      </c>
      <c r="F960" s="20">
        <f t="shared" si="235"/>
        <v>0.21085079654929231</v>
      </c>
      <c r="G960" s="20">
        <f t="shared" si="236"/>
        <v>4.5906988144849183</v>
      </c>
      <c r="I960" s="20">
        <f t="shared" si="247"/>
        <v>-1.0179229798207761</v>
      </c>
      <c r="K960" s="20">
        <f t="shared" si="241"/>
        <v>17.951478522580778</v>
      </c>
      <c r="L960" s="20">
        <f t="shared" si="248"/>
        <v>4.7622513299760888E-2</v>
      </c>
      <c r="M960" s="20">
        <f t="shared" si="237"/>
        <v>1.0368498432345066</v>
      </c>
      <c r="N960" s="1">
        <f t="shared" si="242"/>
        <v>234.85745394006068</v>
      </c>
      <c r="P960" s="20">
        <f t="shared" si="243"/>
        <v>-29.09168417200241</v>
      </c>
      <c r="Q960" s="20">
        <f t="shared" si="238"/>
        <v>-0.12623149415130697</v>
      </c>
      <c r="R960" s="20">
        <f t="shared" si="239"/>
        <v>-2.7483451807382315</v>
      </c>
      <c r="S960" s="20">
        <f t="shared" si="244"/>
        <v>11.551007168889791</v>
      </c>
      <c r="T960" s="1">
        <f t="shared" si="245"/>
        <v>0</v>
      </c>
    </row>
    <row r="961" spans="1:20" x14ac:dyDescent="0.25">
      <c r="A961" s="20">
        <f t="shared" si="240"/>
        <v>9.5599999999998406</v>
      </c>
      <c r="C961" s="20">
        <f t="shared" si="246"/>
        <v>34.2133580858385</v>
      </c>
      <c r="D961" s="20">
        <f t="shared" si="233"/>
        <v>0.25143648465957613</v>
      </c>
      <c r="E961" s="20">
        <f t="shared" si="234"/>
        <v>5.4743410550745946</v>
      </c>
      <c r="F961" s="20">
        <f t="shared" si="235"/>
        <v>0.21120664711404397</v>
      </c>
      <c r="G961" s="20">
        <f t="shared" si="236"/>
        <v>4.5984464862626604</v>
      </c>
      <c r="I961" s="20">
        <f t="shared" si="247"/>
        <v>-1.0180869135294413</v>
      </c>
      <c r="K961" s="20">
        <f t="shared" si="241"/>
        <v>17.961847021013124</v>
      </c>
      <c r="L961" s="20">
        <f t="shared" si="248"/>
        <v>4.7756144939668121E-2</v>
      </c>
      <c r="M961" s="20">
        <f t="shared" si="237"/>
        <v>1.0397593063285027</v>
      </c>
      <c r="N961" s="1">
        <f t="shared" si="242"/>
        <v>235.03702056777865</v>
      </c>
      <c r="P961" s="20">
        <f t="shared" si="243"/>
        <v>-29.119167623809791</v>
      </c>
      <c r="Q961" s="20">
        <f t="shared" si="238"/>
        <v>-0.12569193053781774</v>
      </c>
      <c r="R961" s="20">
        <f t="shared" si="239"/>
        <v>-2.7365976603051982</v>
      </c>
      <c r="S961" s="20">
        <f t="shared" si="244"/>
        <v>11.25995290991073</v>
      </c>
      <c r="T961" s="1">
        <f t="shared" si="245"/>
        <v>0</v>
      </c>
    </row>
    <row r="962" spans="1:20" x14ac:dyDescent="0.25">
      <c r="A962" s="20">
        <f t="shared" si="240"/>
        <v>9.5699999999998404</v>
      </c>
      <c r="C962" s="20">
        <f t="shared" si="246"/>
        <v>34.242108541796796</v>
      </c>
      <c r="D962" s="20">
        <f t="shared" si="233"/>
        <v>0.2518592406422544</v>
      </c>
      <c r="E962" s="20">
        <f t="shared" si="234"/>
        <v>5.4835454091498894</v>
      </c>
      <c r="F962" s="20">
        <f t="shared" si="235"/>
        <v>0.21156176213949371</v>
      </c>
      <c r="G962" s="20">
        <f t="shared" si="236"/>
        <v>4.6061781436859075</v>
      </c>
      <c r="I962" s="20">
        <f t="shared" si="247"/>
        <v>-1.0182480472767081</v>
      </c>
      <c r="K962" s="20">
        <f t="shared" si="241"/>
        <v>17.972244614076409</v>
      </c>
      <c r="L962" s="20">
        <f t="shared" si="248"/>
        <v>4.788887710059006E-2</v>
      </c>
      <c r="M962" s="20">
        <f t="shared" si="237"/>
        <v>1.0426491857302431</v>
      </c>
      <c r="N962" s="1">
        <f t="shared" si="242"/>
        <v>235.21669102595411</v>
      </c>
      <c r="P962" s="20">
        <f t="shared" si="243"/>
        <v>-29.146533600412841</v>
      </c>
      <c r="Q962" s="20">
        <f t="shared" si="238"/>
        <v>-0.12515339933855413</v>
      </c>
      <c r="R962" s="20">
        <f t="shared" si="239"/>
        <v>-2.7248726178653198</v>
      </c>
      <c r="S962" s="20">
        <f t="shared" si="244"/>
        <v>10.968624403789617</v>
      </c>
      <c r="T962" s="1">
        <f t="shared" si="245"/>
        <v>0</v>
      </c>
    </row>
    <row r="963" spans="1:20" x14ac:dyDescent="0.25">
      <c r="A963" s="20">
        <f t="shared" si="240"/>
        <v>9.5799999999998402</v>
      </c>
      <c r="C963" s="20">
        <f t="shared" si="246"/>
        <v>34.270775236978885</v>
      </c>
      <c r="D963" s="20">
        <f t="shared" si="233"/>
        <v>0.25228111853377744</v>
      </c>
      <c r="E963" s="20">
        <f t="shared" si="234"/>
        <v>5.4927306451943707</v>
      </c>
      <c r="F963" s="20">
        <f t="shared" si="235"/>
        <v>0.21191613956837307</v>
      </c>
      <c r="G963" s="20">
        <f t="shared" si="236"/>
        <v>4.6138937419632722</v>
      </c>
      <c r="I963" s="20">
        <f t="shared" si="247"/>
        <v>-1.0184063976021447</v>
      </c>
      <c r="K963" s="20">
        <f t="shared" si="241"/>
        <v>17.982671105933711</v>
      </c>
      <c r="L963" s="20">
        <f t="shared" si="248"/>
        <v>4.8020709629397279E-2</v>
      </c>
      <c r="M963" s="20">
        <f t="shared" si="237"/>
        <v>1.045519478105754</v>
      </c>
      <c r="N963" s="1">
        <f t="shared" si="242"/>
        <v>235.39646560455415</v>
      </c>
      <c r="P963" s="20">
        <f t="shared" si="243"/>
        <v>-29.173782326591493</v>
      </c>
      <c r="Q963" s="20">
        <f t="shared" si="238"/>
        <v>-0.12461590335911205</v>
      </c>
      <c r="R963" s="20">
        <f t="shared" si="239"/>
        <v>-2.7131701145027662</v>
      </c>
      <c r="S963" s="20">
        <f t="shared" si="244"/>
        <v>10.677022824154596</v>
      </c>
      <c r="T963" s="1">
        <f t="shared" si="245"/>
        <v>0</v>
      </c>
    </row>
    <row r="964" spans="1:20" x14ac:dyDescent="0.25">
      <c r="A964" s="20">
        <f t="shared" si="240"/>
        <v>9.58999999999984</v>
      </c>
      <c r="C964" s="20">
        <f t="shared" si="246"/>
        <v>34.299358217446766</v>
      </c>
      <c r="D964" s="20">
        <f t="shared" si="233"/>
        <v>0.2527021159182592</v>
      </c>
      <c r="E964" s="20">
        <f t="shared" si="234"/>
        <v>5.5018967106087349</v>
      </c>
      <c r="F964" s="20">
        <f t="shared" si="235"/>
        <v>0.21226977737133776</v>
      </c>
      <c r="G964" s="20">
        <f t="shared" si="236"/>
        <v>4.6215932369113384</v>
      </c>
      <c r="I964" s="20">
        <f t="shared" si="247"/>
        <v>-1.0185619809580788</v>
      </c>
      <c r="K964" s="20">
        <f t="shared" si="241"/>
        <v>17.993126300714771</v>
      </c>
      <c r="L964" s="20">
        <f t="shared" si="248"/>
        <v>4.8151642402801925E-2</v>
      </c>
      <c r="M964" s="20">
        <f t="shared" si="237"/>
        <v>1.0483701807707799</v>
      </c>
      <c r="N964" s="1">
        <f t="shared" si="242"/>
        <v>235.5763445915874</v>
      </c>
      <c r="P964" s="20">
        <f t="shared" si="243"/>
        <v>-29.20091402773652</v>
      </c>
      <c r="Q964" s="20">
        <f t="shared" si="238"/>
        <v>-0.12407944537367582</v>
      </c>
      <c r="R964" s="20">
        <f t="shared" si="239"/>
        <v>-2.701490210617806</v>
      </c>
      <c r="S964" s="20">
        <f t="shared" si="244"/>
        <v>10.385149342382956</v>
      </c>
      <c r="T964" s="1">
        <f t="shared" si="245"/>
        <v>0</v>
      </c>
    </row>
    <row r="965" spans="1:20" x14ac:dyDescent="0.25">
      <c r="A965" s="20">
        <f t="shared" si="240"/>
        <v>9.5999999999998398</v>
      </c>
      <c r="C965" s="20">
        <f t="shared" si="246"/>
        <v>34.32785753074117</v>
      </c>
      <c r="D965" s="20">
        <f t="shared" ref="D965:D1000" si="249">0.5*$W$5*$W$10*$W$9*C965^2</f>
        <v>0.25312223041291892</v>
      </c>
      <c r="E965" s="20">
        <f t="shared" ref="E965:E1000" si="250">D965/$W$4</f>
        <v>5.5110435535144555</v>
      </c>
      <c r="F965" s="20">
        <f t="shared" ref="F965:F1000" si="251">0.5*$W$6*$W$10*$W$9*C965^2</f>
        <v>0.21262267354685191</v>
      </c>
      <c r="G965" s="20">
        <f t="shared" ref="G965:G1000" si="252">F965/$W$4</f>
        <v>4.6292765849521427</v>
      </c>
      <c r="I965" s="20">
        <f t="shared" si="247"/>
        <v>-1.0187148137101232</v>
      </c>
      <c r="K965" s="20">
        <f t="shared" si="241"/>
        <v>18.003610002522478</v>
      </c>
      <c r="L965" s="20">
        <f t="shared" si="248"/>
        <v>4.8281675327202428E-2</v>
      </c>
      <c r="M965" s="20">
        <f t="shared" ref="M965:M1000" si="253">L965/$W$4</f>
        <v>1.0512012916874032</v>
      </c>
      <c r="N965" s="1">
        <f t="shared" si="242"/>
        <v>235.75632827310358</v>
      </c>
      <c r="P965" s="20">
        <f t="shared" si="243"/>
        <v>-29.227928929842697</v>
      </c>
      <c r="Q965" s="20">
        <f t="shared" ref="Q965:Q1000" si="254">-(D965*SIN(I965))+(F965*COS(I965))-($W$4*9.81)</f>
        <v>-0.12354402812511017</v>
      </c>
      <c r="R965" s="20">
        <f t="shared" ref="R965:R1000" si="255">Q965/$W$4</f>
        <v>-2.6898329659288085</v>
      </c>
      <c r="S965" s="20">
        <f t="shared" si="244"/>
        <v>10.09300512759506</v>
      </c>
      <c r="T965" s="1">
        <f t="shared" si="245"/>
        <v>0</v>
      </c>
    </row>
    <row r="966" spans="1:20" x14ac:dyDescent="0.25">
      <c r="A966" s="20">
        <f t="shared" ref="A966:A1000" si="256">A965+$W$18</f>
        <v>9.6099999999998396</v>
      </c>
      <c r="C966" s="20">
        <f t="shared" si="246"/>
        <v>34.35627322586717</v>
      </c>
      <c r="D966" s="20">
        <f t="shared" si="249"/>
        <v>0.25354145966794261</v>
      </c>
      <c r="E966" s="20">
        <f t="shared" si="250"/>
        <v>5.5201711227507646</v>
      </c>
      <c r="F966" s="20">
        <f t="shared" si="251"/>
        <v>0.2129748261210718</v>
      </c>
      <c r="G966" s="20">
        <f t="shared" si="252"/>
        <v>4.6369437431106419</v>
      </c>
      <c r="I966" s="20">
        <f t="shared" si="247"/>
        <v>-1.018864912137694</v>
      </c>
      <c r="K966" s="20">
        <f t="shared" ref="K966:K1000" si="257">K965+(M965*$W$18)</f>
        <v>18.014122015439352</v>
      </c>
      <c r="L966" s="20">
        <f t="shared" si="248"/>
        <v>4.8410808338526734E-2</v>
      </c>
      <c r="M966" s="20">
        <f t="shared" si="253"/>
        <v>1.05401280946063</v>
      </c>
      <c r="N966" s="1">
        <f t="shared" ref="N966:N1000" si="258">N965+(K965*$W$18)+(0.5*M965*$W$18^2)</f>
        <v>235.93641693319339</v>
      </c>
      <c r="P966" s="20">
        <f t="shared" ref="P966:P1000" si="259">P965+(R965*$W$18)</f>
        <v>-29.254827259501987</v>
      </c>
      <c r="Q966" s="20">
        <f t="shared" si="254"/>
        <v>-0.12300965432505312</v>
      </c>
      <c r="R966" s="20">
        <f t="shared" si="255"/>
        <v>-2.6781984394742677</v>
      </c>
      <c r="S966" s="20">
        <f t="shared" ref="S966:S1000" si="260">S965+(P965*$W$18)+(0.5*R965*$W$18^2)</f>
        <v>9.8005913466483356</v>
      </c>
      <c r="T966" s="1">
        <f t="shared" si="245"/>
        <v>0</v>
      </c>
    </row>
    <row r="967" spans="1:20" x14ac:dyDescent="0.25">
      <c r="A967" s="20">
        <f t="shared" si="256"/>
        <v>9.6199999999998393</v>
      </c>
      <c r="C967" s="20">
        <f t="shared" si="246"/>
        <v>34.384605353279895</v>
      </c>
      <c r="D967" s="20">
        <f t="shared" si="249"/>
        <v>0.2539598013663435</v>
      </c>
      <c r="E967" s="20">
        <f t="shared" si="250"/>
        <v>5.5292793678716201</v>
      </c>
      <c r="F967" s="20">
        <f t="shared" si="251"/>
        <v>0.21332623314772853</v>
      </c>
      <c r="G967" s="20">
        <f t="shared" si="252"/>
        <v>4.6445946690121609</v>
      </c>
      <c r="I967" s="20">
        <f t="shared" si="247"/>
        <v>-1.0190122924345282</v>
      </c>
      <c r="K967" s="20">
        <f t="shared" si="257"/>
        <v>18.024662143533959</v>
      </c>
      <c r="L967" s="20">
        <f t="shared" si="248"/>
        <v>4.8539041402074962E-2</v>
      </c>
      <c r="M967" s="20">
        <f t="shared" si="253"/>
        <v>1.0568047333349655</v>
      </c>
      <c r="N967" s="1">
        <f t="shared" si="258"/>
        <v>236.11661085398825</v>
      </c>
      <c r="P967" s="20">
        <f t="shared" si="259"/>
        <v>-29.281609243896728</v>
      </c>
      <c r="Q967" s="20">
        <f t="shared" si="254"/>
        <v>-0.12247632665400993</v>
      </c>
      <c r="R967" s="20">
        <f t="shared" si="255"/>
        <v>-2.6665866896148471</v>
      </c>
      <c r="S967" s="20">
        <f t="shared" si="260"/>
        <v>9.5079091641313411</v>
      </c>
      <c r="T967" s="1">
        <f t="shared" ref="T967:T1000" si="261">IF(AND(S966&gt;0,S967&lt;0),(-1*S966*(N967-N966)/(S967-S966)+N966),0)</f>
        <v>0</v>
      </c>
    </row>
    <row r="968" spans="1:20" x14ac:dyDescent="0.25">
      <c r="A968" s="20">
        <f t="shared" si="256"/>
        <v>9.6299999999998391</v>
      </c>
      <c r="C968" s="20">
        <f t="shared" si="246"/>
        <v>34.412853964870351</v>
      </c>
      <c r="D968" s="20">
        <f t="shared" si="249"/>
        <v>0.2543772532238236</v>
      </c>
      <c r="E968" s="20">
        <f t="shared" si="250"/>
        <v>5.5383682391426872</v>
      </c>
      <c r="F968" s="20">
        <f t="shared" si="251"/>
        <v>0.21367689270801182</v>
      </c>
      <c r="G968" s="20">
        <f t="shared" si="252"/>
        <v>4.6522293208798571</v>
      </c>
      <c r="I968" s="20">
        <f t="shared" si="247"/>
        <v>-1.0191569707091954</v>
      </c>
      <c r="K968" s="20">
        <f t="shared" si="257"/>
        <v>18.03523019086731</v>
      </c>
      <c r="L968" s="20">
        <f t="shared" si="248"/>
        <v>4.866637451236136E-2</v>
      </c>
      <c r="M968" s="20">
        <f t="shared" si="253"/>
        <v>1.0595770631909724</v>
      </c>
      <c r="N968" s="1">
        <f t="shared" si="258"/>
        <v>236.29691031566026</v>
      </c>
      <c r="P968" s="20">
        <f t="shared" si="259"/>
        <v>-29.308275110792877</v>
      </c>
      <c r="Q968" s="20">
        <f t="shared" si="254"/>
        <v>-0.12194404776144618</v>
      </c>
      <c r="R968" s="20">
        <f t="shared" si="255"/>
        <v>-2.6549977740354058</v>
      </c>
      <c r="S968" s="20">
        <f t="shared" si="260"/>
        <v>9.2149597423578928</v>
      </c>
      <c r="T968" s="1">
        <f t="shared" si="261"/>
        <v>0</v>
      </c>
    </row>
    <row r="969" spans="1:20" x14ac:dyDescent="0.25">
      <c r="A969" s="20">
        <f t="shared" si="256"/>
        <v>9.6399999999998389</v>
      </c>
      <c r="C969" s="20">
        <f t="shared" si="246"/>
        <v>34.441019113951292</v>
      </c>
      <c r="D969" s="20">
        <f t="shared" si="249"/>
        <v>0.25479381298863263</v>
      </c>
      <c r="E969" s="20">
        <f t="shared" si="250"/>
        <v>5.5474376875382676</v>
      </c>
      <c r="F969" s="20">
        <f t="shared" si="251"/>
        <v>0.2140268029104514</v>
      </c>
      <c r="G969" s="20">
        <f t="shared" si="252"/>
        <v>4.6598476575321444</v>
      </c>
      <c r="I969" s="20">
        <f t="shared" si="247"/>
        <v>-1.0192989629856084</v>
      </c>
      <c r="K969" s="20">
        <f t="shared" si="257"/>
        <v>18.045825961499219</v>
      </c>
      <c r="L969" s="20">
        <f t="shared" si="248"/>
        <v>4.8792807692955353E-2</v>
      </c>
      <c r="M969" s="20">
        <f t="shared" si="253"/>
        <v>1.0623297995418104</v>
      </c>
      <c r="N969" s="1">
        <f t="shared" si="258"/>
        <v>236.47731559642207</v>
      </c>
      <c r="P969" s="20">
        <f t="shared" si="259"/>
        <v>-29.334825088533233</v>
      </c>
      <c r="Q969" s="20">
        <f t="shared" si="254"/>
        <v>-0.1214128202658834</v>
      </c>
      <c r="R969" s="20">
        <f t="shared" si="255"/>
        <v>-2.6434317497470805</v>
      </c>
      <c r="S969" s="20">
        <f t="shared" si="260"/>
        <v>8.9217442413612638</v>
      </c>
      <c r="T969" s="1">
        <f t="shared" si="261"/>
        <v>0</v>
      </c>
    </row>
    <row r="970" spans="1:20" x14ac:dyDescent="0.25">
      <c r="A970" s="20">
        <f t="shared" si="256"/>
        <v>9.6499999999998387</v>
      </c>
      <c r="C970" s="20">
        <f t="shared" si="246"/>
        <v>34.469100855243248</v>
      </c>
      <c r="D970" s="20">
        <f t="shared" si="249"/>
        <v>0.25520947844142877</v>
      </c>
      <c r="E970" s="20">
        <f t="shared" si="250"/>
        <v>5.5564876647382713</v>
      </c>
      <c r="F970" s="20">
        <f t="shared" si="251"/>
        <v>0.21437596189080016</v>
      </c>
      <c r="G970" s="20">
        <f t="shared" si="252"/>
        <v>4.6674496383801474</v>
      </c>
      <c r="I970" s="20">
        <f t="shared" si="247"/>
        <v>-1.0194382852035275</v>
      </c>
      <c r="K970" s="20">
        <f t="shared" si="257"/>
        <v>18.056449259494638</v>
      </c>
      <c r="L970" s="20">
        <f t="shared" si="248"/>
        <v>4.8918340996321558E-2</v>
      </c>
      <c r="M970" s="20">
        <f t="shared" si="253"/>
        <v>1.0650629435297532</v>
      </c>
      <c r="N970" s="1">
        <f t="shared" si="258"/>
        <v>236.65782697252703</v>
      </c>
      <c r="P970" s="20">
        <f t="shared" si="259"/>
        <v>-29.361259406030705</v>
      </c>
      <c r="Q970" s="20">
        <f t="shared" si="254"/>
        <v>-0.12088264675499294</v>
      </c>
      <c r="R970" s="20">
        <f t="shared" si="255"/>
        <v>-2.6318886730893305</v>
      </c>
      <c r="S970" s="20">
        <f t="shared" si="260"/>
        <v>8.6282638188884437</v>
      </c>
      <c r="T970" s="1">
        <f t="shared" si="261"/>
        <v>0</v>
      </c>
    </row>
    <row r="971" spans="1:20" x14ac:dyDescent="0.25">
      <c r="A971" s="20">
        <f t="shared" si="256"/>
        <v>9.6599999999998385</v>
      </c>
      <c r="C971" s="20">
        <f t="shared" si="246"/>
        <v>34.497099244860642</v>
      </c>
      <c r="D971" s="20">
        <f t="shared" si="249"/>
        <v>0.25562424739513845</v>
      </c>
      <c r="E971" s="20">
        <f t="shared" si="250"/>
        <v>5.5655181231251571</v>
      </c>
      <c r="F971" s="20">
        <f t="shared" si="251"/>
        <v>0.21472436781191628</v>
      </c>
      <c r="G971" s="20">
        <f t="shared" si="252"/>
        <v>4.6750352234251311</v>
      </c>
      <c r="I971" s="20">
        <f t="shared" si="247"/>
        <v>-1.0195749532190643</v>
      </c>
      <c r="K971" s="20">
        <f t="shared" si="257"/>
        <v>18.067099888929935</v>
      </c>
      <c r="L971" s="20">
        <f t="shared" si="248"/>
        <v>4.9042974503659909E-2</v>
      </c>
      <c r="M971" s="20">
        <f t="shared" si="253"/>
        <v>1.0677764969227066</v>
      </c>
      <c r="N971" s="1">
        <f t="shared" si="258"/>
        <v>236.83844471826916</v>
      </c>
      <c r="P971" s="20">
        <f t="shared" si="259"/>
        <v>-29.387578292761599</v>
      </c>
      <c r="Q971" s="20">
        <f t="shared" si="254"/>
        <v>-0.12035352978569042</v>
      </c>
      <c r="R971" s="20">
        <f t="shared" si="255"/>
        <v>-2.6203685997319925</v>
      </c>
      <c r="S971" s="20">
        <f t="shared" si="260"/>
        <v>8.3345196303944835</v>
      </c>
      <c r="T971" s="1">
        <f t="shared" si="261"/>
        <v>0</v>
      </c>
    </row>
    <row r="972" spans="1:20" x14ac:dyDescent="0.25">
      <c r="A972" s="20">
        <f t="shared" si="256"/>
        <v>9.6699999999998383</v>
      </c>
      <c r="C972" s="20">
        <f t="shared" si="246"/>
        <v>34.525014340297943</v>
      </c>
      <c r="D972" s="20">
        <f t="shared" si="249"/>
        <v>0.25603811769481455</v>
      </c>
      <c r="E972" s="20">
        <f t="shared" si="250"/>
        <v>5.5745290157808522</v>
      </c>
      <c r="F972" s="20">
        <f t="shared" si="251"/>
        <v>0.21507201886364422</v>
      </c>
      <c r="G972" s="20">
        <f t="shared" si="252"/>
        <v>4.6826043732559164</v>
      </c>
      <c r="I972" s="20">
        <f t="shared" si="247"/>
        <v>-1.0197089828051797</v>
      </c>
      <c r="K972" s="20">
        <f t="shared" si="257"/>
        <v>18.077777653899162</v>
      </c>
      <c r="L972" s="20">
        <f t="shared" si="248"/>
        <v>4.9166708324744013E-2</v>
      </c>
      <c r="M972" s="20">
        <f t="shared" si="253"/>
        <v>1.0704704621106904</v>
      </c>
      <c r="N972" s="1">
        <f t="shared" si="258"/>
        <v>237.01916910598331</v>
      </c>
      <c r="P972" s="20">
        <f t="shared" si="259"/>
        <v>-29.413781978758919</v>
      </c>
      <c r="Q972" s="20">
        <f t="shared" si="254"/>
        <v>-0.11982547188423293</v>
      </c>
      <c r="R972" s="20">
        <f t="shared" si="255"/>
        <v>-2.6088715846773987</v>
      </c>
      <c r="S972" s="20">
        <f t="shared" si="260"/>
        <v>8.0405128290368815</v>
      </c>
      <c r="T972" s="1">
        <f t="shared" si="261"/>
        <v>0</v>
      </c>
    </row>
    <row r="973" spans="1:20" x14ac:dyDescent="0.25">
      <c r="A973" s="20">
        <f t="shared" si="256"/>
        <v>9.6799999999998381</v>
      </c>
      <c r="C973" s="20">
        <f t="shared" si="246"/>
        <v>34.552846200415992</v>
      </c>
      <c r="D973" s="20">
        <f t="shared" si="249"/>
        <v>0.25645108721749638</v>
      </c>
      <c r="E973" s="20">
        <f t="shared" si="250"/>
        <v>5.5835202964837007</v>
      </c>
      <c r="F973" s="20">
        <f t="shared" si="251"/>
        <v>0.21541891326269694</v>
      </c>
      <c r="G973" s="20">
        <f t="shared" si="252"/>
        <v>4.6901570490463085</v>
      </c>
      <c r="I973" s="20">
        <f t="shared" si="247"/>
        <v>-1.0198403896521806</v>
      </c>
      <c r="K973" s="20">
        <f t="shared" si="257"/>
        <v>18.08848235852027</v>
      </c>
      <c r="L973" s="20">
        <f t="shared" si="248"/>
        <v>4.9289542597759944E-2</v>
      </c>
      <c r="M973" s="20">
        <f t="shared" si="253"/>
        <v>1.0731448421023284</v>
      </c>
      <c r="N973" s="1">
        <f t="shared" si="258"/>
        <v>237.2000004060454</v>
      </c>
      <c r="P973" s="20">
        <f t="shared" si="259"/>
        <v>-29.439870694605695</v>
      </c>
      <c r="Q973" s="20">
        <f t="shared" si="254"/>
        <v>-0.1192984755463134</v>
      </c>
      <c r="R973" s="20">
        <f t="shared" si="255"/>
        <v>-2.5973976822624296</v>
      </c>
      <c r="S973" s="20">
        <f t="shared" si="260"/>
        <v>7.7462445656700583</v>
      </c>
      <c r="T973" s="1">
        <f t="shared" si="261"/>
        <v>0</v>
      </c>
    </row>
    <row r="974" spans="1:20" x14ac:dyDescent="0.25">
      <c r="A974" s="20">
        <f t="shared" si="256"/>
        <v>9.6899999999998379</v>
      </c>
      <c r="C974" s="20">
        <f t="shared" si="246"/>
        <v>34.580594885428376</v>
      </c>
      <c r="D974" s="20">
        <f t="shared" si="249"/>
        <v>0.25686315387206765</v>
      </c>
      <c r="E974" s="20">
        <f t="shared" si="250"/>
        <v>5.5924919197053704</v>
      </c>
      <c r="F974" s="20">
        <f t="shared" si="251"/>
        <v>0.21576504925253681</v>
      </c>
      <c r="G974" s="20">
        <f t="shared" si="252"/>
        <v>4.6976932125525108</v>
      </c>
      <c r="I974" s="20">
        <f t="shared" si="247"/>
        <v>-1.0199691893682103</v>
      </c>
      <c r="K974" s="20">
        <f t="shared" si="257"/>
        <v>18.099213806941293</v>
      </c>
      <c r="L974" s="20">
        <f t="shared" si="248"/>
        <v>4.9411477489142985E-2</v>
      </c>
      <c r="M974" s="20">
        <f t="shared" si="253"/>
        <v>1.0757996405212931</v>
      </c>
      <c r="N974" s="1">
        <f t="shared" si="258"/>
        <v>237.38093888687271</v>
      </c>
      <c r="P974" s="20">
        <f t="shared" si="259"/>
        <v>-29.465844671428318</v>
      </c>
      <c r="Q974" s="20">
        <f t="shared" si="254"/>
        <v>-0.11877254323715741</v>
      </c>
      <c r="R974" s="20">
        <f t="shared" si="255"/>
        <v>-2.585946946160623</v>
      </c>
      <c r="S974" s="20">
        <f t="shared" si="260"/>
        <v>7.4517159888398874</v>
      </c>
      <c r="T974" s="1">
        <f t="shared" si="261"/>
        <v>0</v>
      </c>
    </row>
    <row r="975" spans="1:20" x14ac:dyDescent="0.25">
      <c r="A975" s="20">
        <f t="shared" si="256"/>
        <v>9.6999999999998376</v>
      </c>
      <c r="C975" s="20">
        <f t="shared" si="246"/>
        <v>34.608260456887884</v>
      </c>
      <c r="D975" s="20">
        <f t="shared" si="249"/>
        <v>0.25727431559911473</v>
      </c>
      <c r="E975" s="20">
        <f t="shared" si="250"/>
        <v>5.6014438406077671</v>
      </c>
      <c r="F975" s="20">
        <f t="shared" si="251"/>
        <v>0.21611042510325637</v>
      </c>
      <c r="G975" s="20">
        <f t="shared" si="252"/>
        <v>4.7052128261105244</v>
      </c>
      <c r="I975" s="20">
        <f t="shared" si="247"/>
        <v>-1.0200953974797393</v>
      </c>
      <c r="K975" s="20">
        <f t="shared" si="257"/>
        <v>18.109971803346507</v>
      </c>
      <c r="L975" s="20">
        <f t="shared" si="248"/>
        <v>4.9532513193415256E-2</v>
      </c>
      <c r="M975" s="20">
        <f t="shared" si="253"/>
        <v>1.0784348616027708</v>
      </c>
      <c r="N975" s="1">
        <f t="shared" si="258"/>
        <v>237.56198481492413</v>
      </c>
      <c r="P975" s="20">
        <f t="shared" si="259"/>
        <v>-29.491704140889926</v>
      </c>
      <c r="Q975" s="20">
        <f t="shared" si="254"/>
        <v>-0.11824767739162029</v>
      </c>
      <c r="R975" s="20">
        <f t="shared" si="255"/>
        <v>-2.5745194293842868</v>
      </c>
      <c r="S975" s="20">
        <f t="shared" si="260"/>
        <v>7.156928244778296</v>
      </c>
      <c r="T975" s="1">
        <f t="shared" si="261"/>
        <v>0</v>
      </c>
    </row>
    <row r="976" spans="1:20" x14ac:dyDescent="0.25">
      <c r="A976" s="20">
        <f t="shared" si="256"/>
        <v>9.7099999999998374</v>
      </c>
      <c r="C976" s="20">
        <f t="shared" si="246"/>
        <v>34.635842977673128</v>
      </c>
      <c r="D976" s="20">
        <f t="shared" si="249"/>
        <v>0.25768457037078552</v>
      </c>
      <c r="E976" s="20">
        <f t="shared" si="250"/>
        <v>5.6103760150399635</v>
      </c>
      <c r="F976" s="20">
        <f t="shared" si="251"/>
        <v>0.21645503911145983</v>
      </c>
      <c r="G976" s="20">
        <f t="shared" si="252"/>
        <v>4.7127158526335693</v>
      </c>
      <c r="I976" s="20">
        <f t="shared" si="247"/>
        <v>-1.020219029432049</v>
      </c>
      <c r="K976" s="20">
        <f t="shared" si="257"/>
        <v>18.120756151962535</v>
      </c>
      <c r="L976" s="20">
        <f t="shared" si="248"/>
        <v>4.9652649933021431E-2</v>
      </c>
      <c r="M976" s="20">
        <f t="shared" si="253"/>
        <v>1.0810505101898853</v>
      </c>
      <c r="N976" s="1">
        <f t="shared" si="258"/>
        <v>237.74313845470067</v>
      </c>
      <c r="P976" s="20">
        <f t="shared" si="259"/>
        <v>-29.51744933518377</v>
      </c>
      <c r="Q976" s="20">
        <f t="shared" si="254"/>
        <v>-0.11772388041428289</v>
      </c>
      <c r="R976" s="20">
        <f t="shared" si="255"/>
        <v>-2.5631151842865858</v>
      </c>
      <c r="S976" s="20">
        <f t="shared" si="260"/>
        <v>6.8618824773979279</v>
      </c>
      <c r="T976" s="1">
        <f t="shared" si="261"/>
        <v>0</v>
      </c>
    </row>
    <row r="977" spans="1:20" x14ac:dyDescent="0.25">
      <c r="A977" s="20">
        <f t="shared" si="256"/>
        <v>9.7199999999998372</v>
      </c>
      <c r="C977" s="20">
        <f t="shared" si="246"/>
        <v>34.663342511975159</v>
      </c>
      <c r="D977" s="20">
        <f t="shared" si="249"/>
        <v>0.25809391619064592</v>
      </c>
      <c r="E977" s="20">
        <f t="shared" si="250"/>
        <v>5.6192883995350735</v>
      </c>
      <c r="F977" s="20">
        <f t="shared" si="251"/>
        <v>0.2167988896001426</v>
      </c>
      <c r="G977" s="20">
        <f t="shared" si="252"/>
        <v>4.720202255609462</v>
      </c>
      <c r="I977" s="20">
        <f t="shared" si="247"/>
        <v>-1.020340100589715</v>
      </c>
      <c r="K977" s="20">
        <f t="shared" si="257"/>
        <v>18.131566657064432</v>
      </c>
      <c r="L977" s="20">
        <f t="shared" si="248"/>
        <v>4.9771887958164757E-2</v>
      </c>
      <c r="M977" s="20">
        <f t="shared" si="253"/>
        <v>1.0836465917301275</v>
      </c>
      <c r="N977" s="1">
        <f t="shared" si="258"/>
        <v>237.9244000687458</v>
      </c>
      <c r="P977" s="20">
        <f t="shared" si="259"/>
        <v>-29.543080487026636</v>
      </c>
      <c r="Q977" s="20">
        <f t="shared" si="254"/>
        <v>-0.11720115467955056</v>
      </c>
      <c r="R977" s="20">
        <f t="shared" si="255"/>
        <v>-2.5517342625636958</v>
      </c>
      <c r="S977" s="20">
        <f t="shared" si="260"/>
        <v>6.5665798282868755</v>
      </c>
      <c r="T977" s="1">
        <f t="shared" si="261"/>
        <v>0</v>
      </c>
    </row>
    <row r="978" spans="1:20" x14ac:dyDescent="0.25">
      <c r="A978" s="20">
        <f t="shared" si="256"/>
        <v>9.729999999999837</v>
      </c>
      <c r="C978" s="20">
        <f t="shared" si="246"/>
        <v>34.690759125284281</v>
      </c>
      <c r="D978" s="20">
        <f t="shared" si="249"/>
        <v>0.25850235109353903</v>
      </c>
      <c r="E978" s="20">
        <f t="shared" si="250"/>
        <v>5.6281809513071854</v>
      </c>
      <c r="F978" s="20">
        <f t="shared" si="251"/>
        <v>0.21714197491857276</v>
      </c>
      <c r="G978" s="20">
        <f t="shared" si="252"/>
        <v>4.7276719990980354</v>
      </c>
      <c r="I978" s="20">
        <f t="shared" si="247"/>
        <v>-1.0204586262370854</v>
      </c>
      <c r="K978" s="20">
        <f t="shared" si="257"/>
        <v>18.142403122981733</v>
      </c>
      <c r="L978" s="20">
        <f t="shared" si="248"/>
        <v>4.9890227546641908E-2</v>
      </c>
      <c r="M978" s="20">
        <f t="shared" si="253"/>
        <v>1.0862231122717594</v>
      </c>
      <c r="N978" s="1">
        <f t="shared" si="258"/>
        <v>238.10576991764603</v>
      </c>
      <c r="P978" s="20">
        <f t="shared" si="259"/>
        <v>-29.568597829652273</v>
      </c>
      <c r="Q978" s="20">
        <f t="shared" si="254"/>
        <v>-0.11667950253174858</v>
      </c>
      <c r="R978" s="20">
        <f t="shared" si="255"/>
        <v>-2.5403767152568819</v>
      </c>
      <c r="S978" s="20">
        <f t="shared" si="260"/>
        <v>6.2710214367034816</v>
      </c>
      <c r="T978" s="1">
        <f t="shared" si="261"/>
        <v>0</v>
      </c>
    </row>
    <row r="979" spans="1:20" x14ac:dyDescent="0.25">
      <c r="A979" s="20">
        <f t="shared" si="256"/>
        <v>9.7399999999998368</v>
      </c>
      <c r="C979" s="20">
        <f t="shared" si="246"/>
        <v>34.718092884376823</v>
      </c>
      <c r="D979" s="20">
        <f t="shared" si="249"/>
        <v>0.25890987314544045</v>
      </c>
      <c r="E979" s="20">
        <f t="shared" si="250"/>
        <v>5.6370536282482133</v>
      </c>
      <c r="F979" s="20">
        <f t="shared" si="251"/>
        <v>0.21748429344216996</v>
      </c>
      <c r="G979" s="20">
        <f t="shared" si="252"/>
        <v>4.7351250477284994</v>
      </c>
      <c r="I979" s="20">
        <f t="shared" si="247"/>
        <v>-1.0205746215787561</v>
      </c>
      <c r="K979" s="20">
        <f t="shared" si="257"/>
        <v>18.153265354104452</v>
      </c>
      <c r="L979" s="20">
        <f t="shared" si="248"/>
        <v>5.0007669003677452E-2</v>
      </c>
      <c r="M979" s="20">
        <f t="shared" si="253"/>
        <v>1.0887800784602102</v>
      </c>
      <c r="N979" s="1">
        <f t="shared" si="258"/>
        <v>238.28724826003148</v>
      </c>
      <c r="P979" s="20">
        <f t="shared" si="259"/>
        <v>-29.594001596804841</v>
      </c>
      <c r="Q979" s="20">
        <f t="shared" si="254"/>
        <v>-0.1161589262852229</v>
      </c>
      <c r="R979" s="20">
        <f t="shared" si="255"/>
        <v>-2.5290425927546898</v>
      </c>
      <c r="S979" s="20">
        <f t="shared" si="260"/>
        <v>5.9752084395711957</v>
      </c>
      <c r="T979" s="1">
        <f t="shared" si="261"/>
        <v>0</v>
      </c>
    </row>
    <row r="980" spans="1:20" x14ac:dyDescent="0.25">
      <c r="A980" s="20">
        <f t="shared" si="256"/>
        <v>9.7499999999998366</v>
      </c>
      <c r="C980" s="20">
        <f t="shared" si="246"/>
        <v>34.745343857302153</v>
      </c>
      <c r="D980" s="20">
        <f t="shared" si="249"/>
        <v>0.2593164804433169</v>
      </c>
      <c r="E980" s="20">
        <f t="shared" si="250"/>
        <v>5.6459063889248187</v>
      </c>
      <c r="F980" s="20">
        <f t="shared" si="251"/>
        <v>0.21782584357238621</v>
      </c>
      <c r="G980" s="20">
        <f t="shared" si="252"/>
        <v>4.7425613666968482</v>
      </c>
      <c r="I980" s="20">
        <f t="shared" si="247"/>
        <v>-1.0206881017400442</v>
      </c>
      <c r="K980" s="20">
        <f t="shared" si="257"/>
        <v>18.164153154889053</v>
      </c>
      <c r="L980" s="20">
        <f t="shared" si="248"/>
        <v>5.0124212661758344E-2</v>
      </c>
      <c r="M980" s="20">
        <f t="shared" si="253"/>
        <v>1.091317497534473</v>
      </c>
      <c r="N980" s="1">
        <f t="shared" si="258"/>
        <v>238.46883535257643</v>
      </c>
      <c r="P980" s="20">
        <f t="shared" si="259"/>
        <v>-29.619292022732388</v>
      </c>
      <c r="Q980" s="20">
        <f t="shared" si="254"/>
        <v>-0.11563942822443646</v>
      </c>
      <c r="R980" s="20">
        <f t="shared" si="255"/>
        <v>-2.5177319447950461</v>
      </c>
      <c r="S980" s="20">
        <f t="shared" si="260"/>
        <v>5.6791419714735101</v>
      </c>
      <c r="T980" s="1">
        <f t="shared" si="261"/>
        <v>0</v>
      </c>
    </row>
    <row r="981" spans="1:20" x14ac:dyDescent="0.25">
      <c r="A981" s="20">
        <f t="shared" si="256"/>
        <v>9.7599999999998364</v>
      </c>
      <c r="C981" s="20">
        <f t="shared" si="246"/>
        <v>34.772512113369672</v>
      </c>
      <c r="D981" s="20">
        <f t="shared" si="249"/>
        <v>0.25972217111498236</v>
      </c>
      <c r="E981" s="20">
        <f t="shared" si="250"/>
        <v>5.654739192575275</v>
      </c>
      <c r="F981" s="20">
        <f t="shared" si="251"/>
        <v>0.21816662373658519</v>
      </c>
      <c r="G981" s="20">
        <f t="shared" si="252"/>
        <v>4.7499809217632309</v>
      </c>
      <c r="I981" s="20">
        <f t="shared" si="247"/>
        <v>-1.020799081767455</v>
      </c>
      <c r="K981" s="20">
        <f t="shared" si="257"/>
        <v>18.175066329864396</v>
      </c>
      <c r="L981" s="20">
        <f t="shared" si="248"/>
        <v>5.0239858880466282E-2</v>
      </c>
      <c r="M981" s="20">
        <f t="shared" si="253"/>
        <v>1.0938353773234548</v>
      </c>
      <c r="N981" s="1">
        <f t="shared" si="258"/>
        <v>238.65053145000019</v>
      </c>
      <c r="P981" s="20">
        <f t="shared" si="259"/>
        <v>-29.64446934218034</v>
      </c>
      <c r="Q981" s="20">
        <f t="shared" si="254"/>
        <v>-0.11512101060406854</v>
      </c>
      <c r="R981" s="20">
        <f t="shared" si="255"/>
        <v>-2.5064448204674186</v>
      </c>
      <c r="S981" s="20">
        <f t="shared" si="260"/>
        <v>5.3828231646489462</v>
      </c>
      <c r="T981" s="1">
        <f t="shared" si="261"/>
        <v>0</v>
      </c>
    </row>
    <row r="982" spans="1:20" x14ac:dyDescent="0.25">
      <c r="A982" s="20">
        <f t="shared" si="256"/>
        <v>9.7699999999998361</v>
      </c>
      <c r="C982" s="20">
        <f t="shared" si="246"/>
        <v>34.799597723135932</v>
      </c>
      <c r="D982" s="20">
        <f t="shared" si="249"/>
        <v>0.26012694331895442</v>
      </c>
      <c r="E982" s="20">
        <f t="shared" si="250"/>
        <v>5.6635519991063452</v>
      </c>
      <c r="F982" s="20">
        <f t="shared" si="251"/>
        <v>0.2185066323879217</v>
      </c>
      <c r="G982" s="20">
        <f t="shared" si="252"/>
        <v>4.7573836792493296</v>
      </c>
      <c r="I982" s="20">
        <f t="shared" si="247"/>
        <v>-1.02090757662915</v>
      </c>
      <c r="K982" s="20">
        <f t="shared" si="257"/>
        <v>18.186004683637631</v>
      </c>
      <c r="L982" s="20">
        <f t="shared" si="248"/>
        <v>5.0354608046311783E-2</v>
      </c>
      <c r="M982" s="20">
        <f t="shared" si="253"/>
        <v>1.096333726242364</v>
      </c>
      <c r="N982" s="1">
        <f t="shared" si="258"/>
        <v>238.83233680506771</v>
      </c>
      <c r="P982" s="20">
        <f t="shared" si="259"/>
        <v>-29.669533790385014</v>
      </c>
      <c r="Q982" s="20">
        <f t="shared" si="254"/>
        <v>-0.11460367564911439</v>
      </c>
      <c r="R982" s="20">
        <f t="shared" si="255"/>
        <v>-2.4951812682149876</v>
      </c>
      <c r="S982" s="20">
        <f t="shared" si="260"/>
        <v>5.0862531489861187</v>
      </c>
      <c r="T982" s="1">
        <f t="shared" si="261"/>
        <v>0</v>
      </c>
    </row>
    <row r="983" spans="1:20" x14ac:dyDescent="0.25">
      <c r="A983" s="20">
        <f t="shared" si="256"/>
        <v>9.7799999999998359</v>
      </c>
      <c r="C983" s="20">
        <f t="shared" si="246"/>
        <v>34.826600758391891</v>
      </c>
      <c r="D983" s="20">
        <f t="shared" si="249"/>
        <v>0.26053079524431155</v>
      </c>
      <c r="E983" s="20">
        <f t="shared" si="250"/>
        <v>5.6723447690901709</v>
      </c>
      <c r="F983" s="20">
        <f t="shared" si="251"/>
        <v>0.21884586800522171</v>
      </c>
      <c r="G983" s="20">
        <f t="shared" si="252"/>
        <v>4.7647696060357436</v>
      </c>
      <c r="I983" s="20">
        <f t="shared" si="247"/>
        <v>-1.0210136012154074</v>
      </c>
      <c r="K983" s="20">
        <f t="shared" si="257"/>
        <v>18.196968020900055</v>
      </c>
      <c r="L983" s="20">
        <f t="shared" si="248"/>
        <v>5.046846057256596E-2</v>
      </c>
      <c r="M983" s="20">
        <f t="shared" si="253"/>
        <v>1.0988125532890478</v>
      </c>
      <c r="N983" s="1">
        <f t="shared" si="258"/>
        <v>239.01425166859039</v>
      </c>
      <c r="P983" s="20">
        <f t="shared" si="259"/>
        <v>-29.694485603067164</v>
      </c>
      <c r="Q983" s="20">
        <f t="shared" si="254"/>
        <v>-0.11408742555498314</v>
      </c>
      <c r="R983" s="20">
        <f t="shared" si="255"/>
        <v>-2.4839413358367763</v>
      </c>
      <c r="S983" s="20">
        <f t="shared" si="260"/>
        <v>4.7894330520188575</v>
      </c>
      <c r="T983" s="1">
        <f t="shared" si="261"/>
        <v>0</v>
      </c>
    </row>
    <row r="984" spans="1:20" x14ac:dyDescent="0.25">
      <c r="A984" s="20">
        <f t="shared" si="256"/>
        <v>9.7899999999998357</v>
      </c>
      <c r="C984" s="20">
        <f t="shared" si="246"/>
        <v>34.85352129215012</v>
      </c>
      <c r="D984" s="20">
        <f t="shared" si="249"/>
        <v>0.2609337251105478</v>
      </c>
      <c r="E984" s="20">
        <f t="shared" si="250"/>
        <v>5.6811174637611108</v>
      </c>
      <c r="F984" s="20">
        <f t="shared" si="251"/>
        <v>0.21918432909286015</v>
      </c>
      <c r="G984" s="20">
        <f t="shared" si="252"/>
        <v>4.7721386695593324</v>
      </c>
      <c r="I984" s="20">
        <f t="shared" si="247"/>
        <v>-1.0211171703390829</v>
      </c>
      <c r="K984" s="20">
        <f t="shared" si="257"/>
        <v>18.207956146432945</v>
      </c>
      <c r="L984" s="20">
        <f t="shared" si="248"/>
        <v>5.0581416899092485E-2</v>
      </c>
      <c r="M984" s="20">
        <f t="shared" si="253"/>
        <v>1.1012718680403328</v>
      </c>
      <c r="N984" s="1">
        <f t="shared" si="258"/>
        <v>239.19627628942706</v>
      </c>
      <c r="P984" s="20">
        <f t="shared" si="259"/>
        <v>-29.719325016425532</v>
      </c>
      <c r="Q984" s="20">
        <f t="shared" si="254"/>
        <v>-0.11357226248759955</v>
      </c>
      <c r="R984" s="20">
        <f t="shared" si="255"/>
        <v>-2.472725070489866</v>
      </c>
      <c r="S984" s="20">
        <f t="shared" si="260"/>
        <v>4.4923639989213937</v>
      </c>
      <c r="T984" s="1">
        <f t="shared" si="261"/>
        <v>0</v>
      </c>
    </row>
    <row r="985" spans="1:20" x14ac:dyDescent="0.25">
      <c r="A985" s="20">
        <f t="shared" si="256"/>
        <v>9.7999999999998355</v>
      </c>
      <c r="C985" s="20">
        <f t="shared" si="246"/>
        <v>34.880359398632301</v>
      </c>
      <c r="D985" s="20">
        <f t="shared" si="249"/>
        <v>0.26133573116743036</v>
      </c>
      <c r="E985" s="20">
        <f t="shared" si="250"/>
        <v>5.6898700450126363</v>
      </c>
      <c r="F985" s="20">
        <f t="shared" si="251"/>
        <v>0.21952201418064152</v>
      </c>
      <c r="G985" s="20">
        <f t="shared" si="252"/>
        <v>4.7794908378106147</v>
      </c>
      <c r="I985" s="20">
        <f t="shared" si="247"/>
        <v>-1.0212182987360658</v>
      </c>
      <c r="K985" s="20">
        <f t="shared" si="257"/>
        <v>18.21896886511335</v>
      </c>
      <c r="L985" s="20">
        <f t="shared" si="248"/>
        <v>5.0693477492179673E-2</v>
      </c>
      <c r="M985" s="20">
        <f t="shared" si="253"/>
        <v>1.1037116806483709</v>
      </c>
      <c r="N985" s="1">
        <f t="shared" si="258"/>
        <v>239.37841091448479</v>
      </c>
      <c r="P985" s="20">
        <f t="shared" si="259"/>
        <v>-29.744052267130431</v>
      </c>
      <c r="Q985" s="20">
        <f t="shared" si="254"/>
        <v>-0.11305818858350197</v>
      </c>
      <c r="R985" s="20">
        <f t="shared" si="255"/>
        <v>-2.4615325186915302</v>
      </c>
      <c r="S985" s="20">
        <f t="shared" si="260"/>
        <v>4.1950471125036133</v>
      </c>
      <c r="T985" s="1">
        <f t="shared" si="261"/>
        <v>0</v>
      </c>
    </row>
    <row r="986" spans="1:20" x14ac:dyDescent="0.25">
      <c r="A986" s="20">
        <f t="shared" si="256"/>
        <v>9.8099999999998353</v>
      </c>
      <c r="C986" s="20">
        <f t="shared" si="246"/>
        <v>34.907115153256619</v>
      </c>
      <c r="D986" s="20">
        <f t="shared" si="249"/>
        <v>0.26173681169485424</v>
      </c>
      <c r="E986" s="20">
        <f t="shared" si="250"/>
        <v>5.6986024753941704</v>
      </c>
      <c r="F986" s="20">
        <f t="shared" si="251"/>
        <v>0.21985892182367758</v>
      </c>
      <c r="G986" s="20">
        <f t="shared" si="252"/>
        <v>4.7868260793311039</v>
      </c>
      <c r="I986" s="20">
        <f t="shared" si="247"/>
        <v>-1.0213170010657311</v>
      </c>
      <c r="K986" s="20">
        <f t="shared" si="257"/>
        <v>18.230005981919835</v>
      </c>
      <c r="L986" s="20">
        <f t="shared" si="248"/>
        <v>5.0804642844370779E-2</v>
      </c>
      <c r="M986" s="20">
        <f t="shared" si="253"/>
        <v>1.1061320018369427</v>
      </c>
      <c r="N986" s="1">
        <f t="shared" si="258"/>
        <v>239.56065578871997</v>
      </c>
      <c r="P986" s="20">
        <f t="shared" si="259"/>
        <v>-29.768667592317346</v>
      </c>
      <c r="Q986" s="20">
        <f t="shared" si="254"/>
        <v>-0.11254520594994405</v>
      </c>
      <c r="R986" s="20">
        <f t="shared" si="255"/>
        <v>-2.4503637263214468</v>
      </c>
      <c r="S986" s="20">
        <f t="shared" si="260"/>
        <v>3.8974835132063745</v>
      </c>
      <c r="T986" s="1">
        <f t="shared" si="261"/>
        <v>0</v>
      </c>
    </row>
    <row r="987" spans="1:20" x14ac:dyDescent="0.25">
      <c r="A987" s="20">
        <f t="shared" si="256"/>
        <v>9.8199999999998351</v>
      </c>
      <c r="C987" s="20">
        <f t="shared" si="246"/>
        <v>34.933788632625379</v>
      </c>
      <c r="D987" s="20">
        <f t="shared" si="249"/>
        <v>0.26213696500269867</v>
      </c>
      <c r="E987" s="20">
        <f t="shared" si="250"/>
        <v>5.7073147181079618</v>
      </c>
      <c r="F987" s="20">
        <f t="shared" si="251"/>
        <v>0.22019505060226688</v>
      </c>
      <c r="G987" s="20">
        <f t="shared" si="252"/>
        <v>4.7941443632106875</v>
      </c>
      <c r="I987" s="20">
        <f t="shared" si="247"/>
        <v>-1.0214132919113903</v>
      </c>
      <c r="K987" s="20">
        <f t="shared" si="257"/>
        <v>18.241067301938205</v>
      </c>
      <c r="L987" s="20">
        <f t="shared" si="248"/>
        <v>5.0914913474295442E-2</v>
      </c>
      <c r="M987" s="20">
        <f t="shared" si="253"/>
        <v>1.108532842897789</v>
      </c>
      <c r="N987" s="1">
        <f t="shared" si="258"/>
        <v>239.74301115513927</v>
      </c>
      <c r="P987" s="20">
        <f t="shared" si="259"/>
        <v>-29.793171229580562</v>
      </c>
      <c r="Q987" s="20">
        <f t="shared" si="254"/>
        <v>-0.11203331666499428</v>
      </c>
      <c r="R987" s="20">
        <f t="shared" si="255"/>
        <v>-2.4392187386238686</v>
      </c>
      <c r="S987" s="20">
        <f t="shared" si="260"/>
        <v>3.5996743190968847</v>
      </c>
      <c r="T987" s="1">
        <f t="shared" si="261"/>
        <v>0</v>
      </c>
    </row>
    <row r="988" spans="1:20" x14ac:dyDescent="0.25">
      <c r="A988" s="20">
        <f t="shared" si="256"/>
        <v>9.8299999999998349</v>
      </c>
      <c r="C988" s="20">
        <f t="shared" si="246"/>
        <v>34.960379914512608</v>
      </c>
      <c r="D988" s="20">
        <f t="shared" si="249"/>
        <v>0.26253618943068163</v>
      </c>
      <c r="E988" s="20">
        <f t="shared" si="250"/>
        <v>5.7160067370059142</v>
      </c>
      <c r="F988" s="20">
        <f t="shared" si="251"/>
        <v>0.22053039912177255</v>
      </c>
      <c r="G988" s="20">
        <f t="shared" si="252"/>
        <v>4.8014456590849672</v>
      </c>
      <c r="I988" s="20">
        <f t="shared" si="247"/>
        <v>-1.0215071857807383</v>
      </c>
      <c r="K988" s="20">
        <f t="shared" si="257"/>
        <v>18.252152630367185</v>
      </c>
      <c r="L988" s="20">
        <f t="shared" si="248"/>
        <v>5.1024289926499489E-2</v>
      </c>
      <c r="M988" s="20">
        <f t="shared" si="253"/>
        <v>1.1109142156869038</v>
      </c>
      <c r="N988" s="1">
        <f t="shared" si="258"/>
        <v>239.9254772548008</v>
      </c>
      <c r="P988" s="20">
        <f t="shared" si="259"/>
        <v>-29.817563416966799</v>
      </c>
      <c r="Q988" s="20">
        <f t="shared" si="254"/>
        <v>-0.1115225227776383</v>
      </c>
      <c r="R988" s="20">
        <f t="shared" si="255"/>
        <v>-2.4280976002098478</v>
      </c>
      <c r="S988" s="20">
        <f t="shared" si="260"/>
        <v>3.3016206458641477</v>
      </c>
      <c r="T988" s="1">
        <f t="shared" si="261"/>
        <v>0</v>
      </c>
    </row>
    <row r="989" spans="1:20" x14ac:dyDescent="0.25">
      <c r="A989" s="20">
        <f t="shared" si="256"/>
        <v>9.8399999999998347</v>
      </c>
      <c r="C989" s="20">
        <f t="shared" si="246"/>
        <v>34.986889077851828</v>
      </c>
      <c r="D989" s="20">
        <f t="shared" si="249"/>
        <v>0.26293448334821617</v>
      </c>
      <c r="E989" s="20">
        <f t="shared" si="250"/>
        <v>5.7246784965864617</v>
      </c>
      <c r="F989" s="20">
        <f t="shared" si="251"/>
        <v>0.22086496601250161</v>
      </c>
      <c r="G989" s="20">
        <f t="shared" si="252"/>
        <v>4.808729937132628</v>
      </c>
      <c r="I989" s="20">
        <f t="shared" si="247"/>
        <v>-1.021598697106296</v>
      </c>
      <c r="K989" s="20">
        <f t="shared" si="257"/>
        <v>18.263261772524054</v>
      </c>
      <c r="L989" s="20">
        <f t="shared" si="248"/>
        <v>5.1132772771274898E-2</v>
      </c>
      <c r="M989" s="20">
        <f t="shared" si="253"/>
        <v>1.1132761326208338</v>
      </c>
      <c r="N989" s="1">
        <f t="shared" si="258"/>
        <v>240.10805432681525</v>
      </c>
      <c r="P989" s="20">
        <f t="shared" si="259"/>
        <v>-29.841844392968898</v>
      </c>
      <c r="Q989" s="20">
        <f t="shared" si="254"/>
        <v>-0.1110128263078784</v>
      </c>
      <c r="R989" s="20">
        <f t="shared" si="255"/>
        <v>-2.4170003550594035</v>
      </c>
      <c r="S989" s="20">
        <f t="shared" si="260"/>
        <v>3.0033236068144693</v>
      </c>
      <c r="T989" s="1">
        <f t="shared" si="261"/>
        <v>0</v>
      </c>
    </row>
    <row r="990" spans="1:20" x14ac:dyDescent="0.25">
      <c r="A990" s="20">
        <f t="shared" si="256"/>
        <v>9.8499999999998344</v>
      </c>
      <c r="C990" s="20">
        <f t="shared" si="246"/>
        <v>35.013316202723871</v>
      </c>
      <c r="D990" s="20">
        <f t="shared" si="249"/>
        <v>0.26333184515426517</v>
      </c>
      <c r="E990" s="20">
        <f t="shared" si="250"/>
        <v>5.7333299619914033</v>
      </c>
      <c r="F990" s="20">
        <f t="shared" si="251"/>
        <v>0.22119874992958274</v>
      </c>
      <c r="G990" s="20">
        <f t="shared" si="252"/>
        <v>4.8159971680727791</v>
      </c>
      <c r="I990" s="20">
        <f t="shared" si="247"/>
        <v>-1.0216878402458529</v>
      </c>
      <c r="K990" s="20">
        <f t="shared" si="257"/>
        <v>18.274394533850263</v>
      </c>
      <c r="L990" s="20">
        <f t="shared" si="248"/>
        <v>5.124036260448972E-2</v>
      </c>
      <c r="M990" s="20">
        <f t="shared" si="253"/>
        <v>1.1156186066729745</v>
      </c>
      <c r="N990" s="1">
        <f t="shared" si="258"/>
        <v>240.2907426083471</v>
      </c>
      <c r="P990" s="20">
        <f t="shared" si="259"/>
        <v>-29.866014396519493</v>
      </c>
      <c r="Q990" s="20">
        <f t="shared" si="254"/>
        <v>-0.11050422924683612</v>
      </c>
      <c r="R990" s="20">
        <f t="shared" si="255"/>
        <v>-2.4059270465237561</v>
      </c>
      <c r="S990" s="20">
        <f t="shared" si="260"/>
        <v>2.7047843128670275</v>
      </c>
      <c r="T990" s="1">
        <f t="shared" si="261"/>
        <v>0</v>
      </c>
    </row>
    <row r="991" spans="1:20" x14ac:dyDescent="0.25">
      <c r="A991" s="20">
        <f t="shared" si="256"/>
        <v>9.8599999999998342</v>
      </c>
      <c r="C991" s="20">
        <f t="shared" si="246"/>
        <v>35.03966137034476</v>
      </c>
      <c r="D991" s="20">
        <f t="shared" si="249"/>
        <v>0.26372827327719606</v>
      </c>
      <c r="E991" s="20">
        <f t="shared" si="250"/>
        <v>5.7419610990027445</v>
      </c>
      <c r="F991" s="20">
        <f t="shared" si="251"/>
        <v>0.22153174955284469</v>
      </c>
      <c r="G991" s="20">
        <f t="shared" si="252"/>
        <v>4.8232473231623052</v>
      </c>
      <c r="I991" s="20">
        <f t="shared" si="247"/>
        <v>-1.0217746294829027</v>
      </c>
      <c r="K991" s="20">
        <f t="shared" si="257"/>
        <v>18.285550719916991</v>
      </c>
      <c r="L991" s="20">
        <f t="shared" si="248"/>
        <v>5.1347060047416737E-2</v>
      </c>
      <c r="M991" s="20">
        <f t="shared" si="253"/>
        <v>1.1179416513698397</v>
      </c>
      <c r="N991" s="1">
        <f t="shared" si="258"/>
        <v>240.47354233461593</v>
      </c>
      <c r="P991" s="20">
        <f t="shared" si="259"/>
        <v>-29.89007366698473</v>
      </c>
      <c r="Q991" s="20">
        <f t="shared" si="254"/>
        <v>-0.10999673355685397</v>
      </c>
      <c r="R991" s="20">
        <f t="shared" si="255"/>
        <v>-2.3948777173275411</v>
      </c>
      <c r="S991" s="20">
        <f t="shared" si="260"/>
        <v>2.4060038725495065</v>
      </c>
      <c r="T991" s="1">
        <f t="shared" si="261"/>
        <v>0</v>
      </c>
    </row>
    <row r="992" spans="1:20" x14ac:dyDescent="0.25">
      <c r="A992" s="20">
        <f t="shared" si="256"/>
        <v>9.869999999999834</v>
      </c>
      <c r="C992" s="20">
        <f t="shared" si="246"/>
        <v>35.065924663053728</v>
      </c>
      <c r="D992" s="20">
        <f t="shared" si="249"/>
        <v>0.26412376617463623</v>
      </c>
      <c r="E992" s="20">
        <f t="shared" si="250"/>
        <v>5.7505718740395437</v>
      </c>
      <c r="F992" s="20">
        <f t="shared" si="251"/>
        <v>0.22186396358669444</v>
      </c>
      <c r="G992" s="20">
        <f t="shared" si="252"/>
        <v>4.8304803741932165</v>
      </c>
      <c r="I992" s="20">
        <f t="shared" si="247"/>
        <v>-1.0218590790270792</v>
      </c>
      <c r="K992" s="20">
        <f t="shared" si="257"/>
        <v>18.296730136430689</v>
      </c>
      <c r="L992" s="20">
        <f t="shared" si="248"/>
        <v>5.1452865746562937E-2</v>
      </c>
      <c r="M992" s="20">
        <f t="shared" si="253"/>
        <v>1.1202452807873491</v>
      </c>
      <c r="N992" s="1">
        <f t="shared" si="258"/>
        <v>240.65645373889768</v>
      </c>
      <c r="P992" s="20">
        <f t="shared" si="259"/>
        <v>-29.914022444158004</v>
      </c>
      <c r="Q992" s="20">
        <f t="shared" si="254"/>
        <v>-0.10949034117159684</v>
      </c>
      <c r="R992" s="20">
        <f t="shared" si="255"/>
        <v>-2.3838524095710176</v>
      </c>
      <c r="S992" s="20">
        <f t="shared" si="260"/>
        <v>2.1069833919937926</v>
      </c>
      <c r="T992" s="1">
        <f t="shared" si="261"/>
        <v>0</v>
      </c>
    </row>
    <row r="993" spans="1:20" x14ac:dyDescent="0.25">
      <c r="A993" s="20">
        <f t="shared" si="256"/>
        <v>9.8799999999998338</v>
      </c>
      <c r="C993" s="20">
        <f t="shared" si="246"/>
        <v>35.092106164301292</v>
      </c>
      <c r="D993" s="20">
        <f t="shared" si="249"/>
        <v>0.26451832233332784</v>
      </c>
      <c r="E993" s="20">
        <f t="shared" si="250"/>
        <v>5.759162254154754</v>
      </c>
      <c r="F993" s="20">
        <f t="shared" si="251"/>
        <v>0.22219539075999536</v>
      </c>
      <c r="G993" s="20">
        <f t="shared" si="252"/>
        <v>4.8376962934899925</v>
      </c>
      <c r="I993" s="20">
        <f t="shared" si="247"/>
        <v>-1.0219412030145874</v>
      </c>
      <c r="K993" s="20">
        <f t="shared" si="257"/>
        <v>18.307932589238561</v>
      </c>
      <c r="L993" s="20">
        <f t="shared" si="248"/>
        <v>5.1557780373497508E-2</v>
      </c>
      <c r="M993" s="20">
        <f t="shared" si="253"/>
        <v>1.1225295095470826</v>
      </c>
      <c r="N993" s="1">
        <f t="shared" si="258"/>
        <v>240.83947705252601</v>
      </c>
      <c r="P993" s="20">
        <f t="shared" si="259"/>
        <v>-29.937860968253712</v>
      </c>
      <c r="Q993" s="20">
        <f t="shared" si="254"/>
        <v>-0.10898505399615466</v>
      </c>
      <c r="R993" s="20">
        <f t="shared" si="255"/>
        <v>-2.3728511647323027</v>
      </c>
      <c r="S993" s="20">
        <f t="shared" si="260"/>
        <v>1.807723974931734</v>
      </c>
      <c r="T993" s="1">
        <f t="shared" si="261"/>
        <v>0</v>
      </c>
    </row>
    <row r="994" spans="1:20" x14ac:dyDescent="0.25">
      <c r="A994" s="20">
        <f t="shared" si="256"/>
        <v>9.8899999999998336</v>
      </c>
      <c r="C994" s="20">
        <f t="shared" si="246"/>
        <v>35.118205958637382</v>
      </c>
      <c r="D994" s="20">
        <f t="shared" si="249"/>
        <v>0.2649119402689819</v>
      </c>
      <c r="E994" s="20">
        <f t="shared" si="250"/>
        <v>5.7677322070320471</v>
      </c>
      <c r="F994" s="20">
        <f t="shared" si="251"/>
        <v>0.2225260298259448</v>
      </c>
      <c r="G994" s="20">
        <f t="shared" si="252"/>
        <v>4.8448950539069191</v>
      </c>
      <c r="I994" s="20">
        <f t="shared" si="247"/>
        <v>-1.0220210155086324</v>
      </c>
      <c r="K994" s="20">
        <f t="shared" si="257"/>
        <v>18.319157884334032</v>
      </c>
      <c r="L994" s="20">
        <f t="shared" si="248"/>
        <v>5.1661804624680785E-2</v>
      </c>
      <c r="M994" s="20">
        <f t="shared" si="253"/>
        <v>1.1247943528125579</v>
      </c>
      <c r="N994" s="1">
        <f t="shared" si="258"/>
        <v>241.02261250489386</v>
      </c>
      <c r="P994" s="20">
        <f t="shared" si="259"/>
        <v>-29.961589479901036</v>
      </c>
      <c r="Q994" s="20">
        <f t="shared" si="254"/>
        <v>-0.10848087390714539</v>
      </c>
      <c r="R994" s="20">
        <f t="shared" si="255"/>
        <v>-2.3618740236696145</v>
      </c>
      <c r="S994" s="20">
        <f t="shared" si="260"/>
        <v>1.5082267226909603</v>
      </c>
      <c r="T994" s="1">
        <f t="shared" si="261"/>
        <v>0</v>
      </c>
    </row>
    <row r="995" spans="1:20" x14ac:dyDescent="0.25">
      <c r="A995" s="20">
        <f t="shared" si="256"/>
        <v>9.8999999999998334</v>
      </c>
      <c r="C995" s="20">
        <f t="shared" si="246"/>
        <v>35.14422413169963</v>
      </c>
      <c r="D995" s="20">
        <f t="shared" si="249"/>
        <v>0.2653046185261338</v>
      </c>
      <c r="E995" s="20">
        <f t="shared" si="250"/>
        <v>5.7762817009826648</v>
      </c>
      <c r="F995" s="20">
        <f t="shared" si="251"/>
        <v>0.22285587956195241</v>
      </c>
      <c r="G995" s="20">
        <f t="shared" si="252"/>
        <v>4.8520766288254391</v>
      </c>
      <c r="I995" s="20">
        <f t="shared" si="247"/>
        <v>-1.0220985304998453</v>
      </c>
      <c r="K995" s="20">
        <f t="shared" si="257"/>
        <v>18.330405827862158</v>
      </c>
      <c r="L995" s="20">
        <f t="shared" si="248"/>
        <v>5.1764939221291884E-2</v>
      </c>
      <c r="M995" s="20">
        <f t="shared" si="253"/>
        <v>1.1270398262854755</v>
      </c>
      <c r="N995" s="1">
        <f t="shared" si="258"/>
        <v>241.20586032345486</v>
      </c>
      <c r="P995" s="20">
        <f t="shared" si="259"/>
        <v>-29.985208220137732</v>
      </c>
      <c r="Q995" s="20">
        <f t="shared" si="254"/>
        <v>-0.10797780275281671</v>
      </c>
      <c r="R995" s="20">
        <f t="shared" si="255"/>
        <v>-2.3509210266234861</v>
      </c>
      <c r="S995" s="20">
        <f t="shared" si="260"/>
        <v>1.2084927341907663</v>
      </c>
      <c r="T995" s="1">
        <f t="shared" si="261"/>
        <v>0</v>
      </c>
    </row>
    <row r="996" spans="1:20" x14ac:dyDescent="0.25">
      <c r="A996" s="20">
        <f t="shared" si="256"/>
        <v>9.9099999999998332</v>
      </c>
      <c r="C996" s="20">
        <f t="shared" si="246"/>
        <v>35.17016077020164</v>
      </c>
      <c r="D996" s="20">
        <f t="shared" si="249"/>
        <v>0.26569635567799699</v>
      </c>
      <c r="E996" s="20">
        <f t="shared" si="250"/>
        <v>5.7848107049422381</v>
      </c>
      <c r="F996" s="20">
        <f t="shared" si="251"/>
        <v>0.22318493876951745</v>
      </c>
      <c r="G996" s="20">
        <f t="shared" si="252"/>
        <v>4.8592409921514799</v>
      </c>
      <c r="I996" s="20">
        <f t="shared" si="247"/>
        <v>-1.0221737619067046</v>
      </c>
      <c r="K996" s="20">
        <f t="shared" si="257"/>
        <v>18.341676226125013</v>
      </c>
      <c r="L996" s="20">
        <f t="shared" si="248"/>
        <v>5.1867184909056313E-2</v>
      </c>
      <c r="M996" s="20">
        <f t="shared" si="253"/>
        <v>1.1292659462019663</v>
      </c>
      <c r="N996" s="1">
        <f t="shared" si="258"/>
        <v>241.38922073372478</v>
      </c>
      <c r="P996" s="20">
        <f t="shared" si="259"/>
        <v>-30.008717430403966</v>
      </c>
      <c r="Q996" s="20">
        <f t="shared" si="254"/>
        <v>-0.1074758423531505</v>
      </c>
      <c r="R996" s="20">
        <f t="shared" si="255"/>
        <v>-2.3399922132190398</v>
      </c>
      <c r="S996" s="20">
        <f t="shared" si="260"/>
        <v>0.90852310593805785</v>
      </c>
      <c r="T996" s="1">
        <f t="shared" si="261"/>
        <v>0</v>
      </c>
    </row>
    <row r="997" spans="1:20" x14ac:dyDescent="0.25">
      <c r="A997" s="20">
        <f t="shared" si="256"/>
        <v>9.919999999999833</v>
      </c>
      <c r="C997" s="20">
        <f t="shared" si="246"/>
        <v>35.196015961921439</v>
      </c>
      <c r="D997" s="20">
        <f t="shared" si="249"/>
        <v>0.26608715032631797</v>
      </c>
      <c r="E997" s="20">
        <f t="shared" si="250"/>
        <v>5.7933191884676241</v>
      </c>
      <c r="F997" s="20">
        <f t="shared" si="251"/>
        <v>0.22351320627410709</v>
      </c>
      <c r="G997" s="20">
        <f t="shared" si="252"/>
        <v>4.8663881183128046</v>
      </c>
      <c r="I997" s="20">
        <f t="shared" si="247"/>
        <v>-1.0222467235759578</v>
      </c>
      <c r="K997" s="20">
        <f t="shared" si="257"/>
        <v>18.352968885587032</v>
      </c>
      <c r="L997" s="20">
        <f t="shared" si="248"/>
        <v>5.1968542458074168E-2</v>
      </c>
      <c r="M997" s="20">
        <f t="shared" si="253"/>
        <v>1.131472729328852</v>
      </c>
      <c r="N997" s="1">
        <f t="shared" si="258"/>
        <v>241.57269395928336</v>
      </c>
      <c r="P997" s="20">
        <f t="shared" si="259"/>
        <v>-30.032117352536154</v>
      </c>
      <c r="Q997" s="20">
        <f t="shared" si="254"/>
        <v>-0.10697499449996495</v>
      </c>
      <c r="R997" s="20">
        <f t="shared" si="255"/>
        <v>-2.3290876224682115</v>
      </c>
      <c r="S997" s="20">
        <f t="shared" si="260"/>
        <v>0.60831893202335729</v>
      </c>
      <c r="T997" s="1">
        <f t="shared" si="261"/>
        <v>0</v>
      </c>
    </row>
    <row r="998" spans="1:20" x14ac:dyDescent="0.25">
      <c r="A998" s="20">
        <f t="shared" si="256"/>
        <v>9.9299999999998327</v>
      </c>
      <c r="C998" s="20">
        <f t="shared" si="246"/>
        <v>35.221789795689958</v>
      </c>
      <c r="D998" s="20">
        <f t="shared" si="249"/>
        <v>0.26647700110123052</v>
      </c>
      <c r="E998" s="20">
        <f t="shared" si="250"/>
        <v>5.801807121733737</v>
      </c>
      <c r="F998" s="20">
        <f t="shared" si="251"/>
        <v>0.22384068092503365</v>
      </c>
      <c r="G998" s="20">
        <f t="shared" si="252"/>
        <v>4.873517982256339</v>
      </c>
      <c r="I998" s="20">
        <f t="shared" si="247"/>
        <v>-1.0223174292830368</v>
      </c>
      <c r="K998" s="20">
        <f t="shared" si="257"/>
        <v>18.364283612880321</v>
      </c>
      <c r="L998" s="20">
        <f t="shared" si="248"/>
        <v>5.206901266264688E-2</v>
      </c>
      <c r="M998" s="20">
        <f t="shared" si="253"/>
        <v>1.1336601929598711</v>
      </c>
      <c r="N998" s="1">
        <f t="shared" si="258"/>
        <v>241.75628022177571</v>
      </c>
      <c r="P998" s="20">
        <f t="shared" si="259"/>
        <v>-30.055408228760836</v>
      </c>
      <c r="Q998" s="20">
        <f t="shared" si="254"/>
        <v>-0.10647526095701876</v>
      </c>
      <c r="R998" s="20">
        <f t="shared" si="255"/>
        <v>-2.3182072927720174</v>
      </c>
      <c r="S998" s="20">
        <f t="shared" si="260"/>
        <v>0.30788130411687237</v>
      </c>
      <c r="T998" s="1">
        <f t="shared" si="261"/>
        <v>0</v>
      </c>
    </row>
    <row r="999" spans="1:20" x14ac:dyDescent="0.25">
      <c r="A999" s="20">
        <f t="shared" si="256"/>
        <v>9.9399999999998325</v>
      </c>
      <c r="C999" s="20">
        <f t="shared" si="246"/>
        <v>35.247482361379568</v>
      </c>
      <c r="D999" s="20">
        <f t="shared" si="249"/>
        <v>0.26686590666110999</v>
      </c>
      <c r="E999" s="20">
        <f t="shared" si="250"/>
        <v>5.8102744755303721</v>
      </c>
      <c r="F999" s="20">
        <f t="shared" si="251"/>
        <v>0.2241673615953324</v>
      </c>
      <c r="G999" s="20">
        <f t="shared" si="252"/>
        <v>4.8806305594455131</v>
      </c>
      <c r="I999" s="20">
        <f t="shared" si="247"/>
        <v>-1.0223858927324727</v>
      </c>
      <c r="K999" s="20">
        <f t="shared" si="257"/>
        <v>18.375620214809921</v>
      </c>
      <c r="L999" s="20">
        <f t="shared" si="248"/>
        <v>5.2168596341104378E-2</v>
      </c>
      <c r="M999" s="20">
        <f t="shared" si="253"/>
        <v>1.1358283549119177</v>
      </c>
      <c r="N999" s="1">
        <f t="shared" si="258"/>
        <v>241.93997974091417</v>
      </c>
      <c r="P999" s="20">
        <f t="shared" si="259"/>
        <v>-30.078590301688557</v>
      </c>
      <c r="Q999" s="20">
        <f t="shared" si="254"/>
        <v>-0.10597664346011465</v>
      </c>
      <c r="R999" s="20">
        <f t="shared" si="255"/>
        <v>-2.3073512619228098</v>
      </c>
      <c r="S999" s="20">
        <f t="shared" si="260"/>
        <v>7.2113114646253848E-3</v>
      </c>
      <c r="T999" s="1">
        <f t="shared" si="261"/>
        <v>0</v>
      </c>
    </row>
    <row r="1000" spans="1:20" x14ac:dyDescent="0.25">
      <c r="A1000" s="20">
        <f t="shared" si="256"/>
        <v>9.9499999999998323</v>
      </c>
      <c r="C1000" s="20">
        <f t="shared" si="246"/>
        <v>35.273093749892766</v>
      </c>
      <c r="D1000" s="20">
        <f t="shared" si="249"/>
        <v>0.26725386569242743</v>
      </c>
      <c r="E1000" s="20">
        <f t="shared" si="250"/>
        <v>5.8187212212590342</v>
      </c>
      <c r="F1000" s="20">
        <f t="shared" si="251"/>
        <v>0.22449324718163902</v>
      </c>
      <c r="G1000" s="20">
        <f t="shared" si="252"/>
        <v>4.8877258258575882</v>
      </c>
      <c r="I1000" s="20">
        <f t="shared" si="247"/>
        <v>-1.0224521275583067</v>
      </c>
      <c r="K1000" s="20">
        <f t="shared" si="257"/>
        <v>18.386978498359039</v>
      </c>
      <c r="L1000" s="20">
        <f t="shared" si="248"/>
        <v>5.2267294335632319E-2</v>
      </c>
      <c r="M1000" s="20">
        <f t="shared" si="253"/>
        <v>1.1379772335212786</v>
      </c>
      <c r="N1000" s="1">
        <f t="shared" si="258"/>
        <v>242.12379273447999</v>
      </c>
      <c r="P1000" s="20">
        <f t="shared" si="259"/>
        <v>-30.101663814307784</v>
      </c>
      <c r="Q1000" s="20">
        <f t="shared" si="254"/>
        <v>-0.10547914371720396</v>
      </c>
      <c r="R1000" s="20">
        <f t="shared" si="255"/>
        <v>-2.2965195671065528</v>
      </c>
      <c r="S1000" s="20">
        <f t="shared" si="260"/>
        <v>-0.29368995911535634</v>
      </c>
      <c r="T1000" s="1">
        <f t="shared" si="261"/>
        <v>241.94438494912512</v>
      </c>
    </row>
  </sheetData>
  <mergeCells count="5">
    <mergeCell ref="V12:X12"/>
    <mergeCell ref="V3:X3"/>
    <mergeCell ref="C3:G3"/>
    <mergeCell ref="K3:N3"/>
    <mergeCell ref="P3:S3"/>
  </mergeCells>
  <pageMargins left="0.7" right="0.7" top="0.75" bottom="0.75" header="0.3" footer="0.3"/>
  <pageSetup paperSize="9" orientation="portrait" r:id="rId1"/>
  <ignoredErrors>
    <ignoredError sqref="F5:F6" formula="1"/>
  </ignoredErrors>
  <drawing r:id="rId2"/>
  <legacyDrawing r:id="rId3"/>
  <controls>
    <mc:AlternateContent xmlns:mc="http://schemas.openxmlformats.org/markup-compatibility/2006">
      <mc:Choice Requires="x14">
        <control shapeId="1031" r:id="rId4" name="CommandButton1">
          <controlPr defaultSize="0" autoLine="0" r:id="rId5">
            <anchor moveWithCells="1">
              <from>
                <xdr:col>21</xdr:col>
                <xdr:colOff>123825</xdr:colOff>
                <xdr:row>24</xdr:row>
                <xdr:rowOff>38100</xdr:rowOff>
              </from>
              <to>
                <xdr:col>23</xdr:col>
                <xdr:colOff>114300</xdr:colOff>
                <xdr:row>28</xdr:row>
                <xdr:rowOff>38100</xdr:rowOff>
              </to>
            </anchor>
          </controlPr>
        </control>
      </mc:Choice>
      <mc:Fallback>
        <control shapeId="1031" r:id="rId4" name="CommandButton1"/>
      </mc:Fallback>
    </mc:AlternateContent>
    <mc:AlternateContent xmlns:mc="http://schemas.openxmlformats.org/markup-compatibility/2006">
      <mc:Choice Requires="x14">
        <control shapeId="1030" r:id="rId6" name="output_label">
          <controlPr defaultSize="0" autoLine="0" autoPict="0" r:id="rId7">
            <anchor moveWithCells="1">
              <from>
                <xdr:col>26</xdr:col>
                <xdr:colOff>19050</xdr:colOff>
                <xdr:row>23</xdr:row>
                <xdr:rowOff>142875</xdr:rowOff>
              </from>
              <to>
                <xdr:col>28</xdr:col>
                <xdr:colOff>523875</xdr:colOff>
                <xdr:row>29</xdr:row>
                <xdr:rowOff>38100</xdr:rowOff>
              </to>
            </anchor>
          </controlPr>
        </control>
      </mc:Choice>
      <mc:Fallback>
        <control shapeId="1030" r:id="rId6" name="output_label"/>
      </mc:Fallback>
    </mc:AlternateContent>
    <mc:AlternateContent xmlns:mc="http://schemas.openxmlformats.org/markup-compatibility/2006">
      <mc:Choice Requires="x14">
        <control shapeId="1028" r:id="rId8" name="listbox">
          <controlPr defaultSize="0" autoLine="0" autoPict="0" r:id="rId9">
            <anchor moveWithCells="1">
              <from>
                <xdr:col>23</xdr:col>
                <xdr:colOff>447675</xdr:colOff>
                <xdr:row>22</xdr:row>
                <xdr:rowOff>133350</xdr:rowOff>
              </from>
              <to>
                <xdr:col>25</xdr:col>
                <xdr:colOff>333375</xdr:colOff>
                <xdr:row>45</xdr:row>
                <xdr:rowOff>66675</xdr:rowOff>
              </to>
            </anchor>
          </controlPr>
        </control>
      </mc:Choice>
      <mc:Fallback>
        <control shapeId="1028" r:id="rId8" name="listbo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Conor McGale</dc:creator>
  <cp:lastModifiedBy>Conor McGale</cp:lastModifiedBy>
  <dcterms:created xsi:type="dcterms:W3CDTF">2017-04-10T15:20:16Z</dcterms:created>
  <dcterms:modified xsi:type="dcterms:W3CDTF">2020-12-10T18:26:46Z</dcterms:modified>
</cp:coreProperties>
</file>